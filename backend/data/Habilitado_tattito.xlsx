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ATO\"/>
    </mc:Choice>
  </mc:AlternateContent>
  <xr:revisionPtr revIDLastSave="0" documentId="13_ncr:1_{99E28C00-5FBA-47BF-BD7C-94894047FA72}" xr6:coauthVersionLast="47" xr6:coauthVersionMax="47" xr10:uidLastSave="{00000000-0000-0000-0000-000000000000}"/>
  <bookViews>
    <workbookView xWindow="-120" yWindow="-120" windowWidth="20640" windowHeight="11040" xr2:uid="{D9E95242-9F77-4637-87FB-90908A455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4" i="1" l="1"/>
  <c r="G163" i="1"/>
  <c r="G161" i="1"/>
  <c r="G160" i="1"/>
  <c r="G158" i="1"/>
  <c r="G157" i="1"/>
  <c r="G155" i="1"/>
  <c r="G154" i="1"/>
  <c r="G152" i="1"/>
  <c r="G151" i="1"/>
  <c r="G149" i="1"/>
  <c r="G148" i="1"/>
  <c r="G146" i="1"/>
  <c r="G145" i="1"/>
  <c r="G143" i="1"/>
  <c r="G142" i="1"/>
  <c r="G140" i="1"/>
  <c r="G139" i="1"/>
  <c r="G137" i="1"/>
  <c r="G136" i="1"/>
  <c r="G134" i="1"/>
  <c r="G133" i="1"/>
  <c r="G131" i="1"/>
  <c r="G130" i="1"/>
  <c r="G127" i="1"/>
  <c r="G126" i="1"/>
  <c r="G124" i="1"/>
  <c r="G123" i="1"/>
  <c r="G121" i="1"/>
  <c r="G120" i="1"/>
  <c r="G118" i="1"/>
  <c r="G117" i="1"/>
  <c r="G115" i="1"/>
  <c r="G114" i="1"/>
  <c r="G112" i="1"/>
  <c r="G111" i="1"/>
  <c r="G109" i="1"/>
  <c r="G108" i="1"/>
  <c r="G106" i="1"/>
  <c r="G105" i="1"/>
  <c r="G103" i="1"/>
  <c r="G102" i="1"/>
  <c r="G100" i="1"/>
  <c r="G99" i="1"/>
  <c r="G97" i="1"/>
  <c r="G96" i="1"/>
  <c r="G94" i="1"/>
  <c r="G93" i="1"/>
  <c r="G90" i="1"/>
  <c r="G89" i="1"/>
  <c r="G87" i="1"/>
  <c r="G86" i="1"/>
  <c r="G84" i="1"/>
  <c r="G83" i="1"/>
  <c r="G81" i="1"/>
  <c r="G80" i="1"/>
  <c r="G78" i="1"/>
  <c r="G77" i="1"/>
  <c r="G74" i="1"/>
  <c r="G73" i="1"/>
  <c r="G71" i="1"/>
  <c r="G70" i="1"/>
  <c r="G68" i="1"/>
  <c r="G67" i="1"/>
  <c r="G65" i="1"/>
  <c r="G64" i="1"/>
  <c r="G62" i="1"/>
  <c r="G61" i="1"/>
  <c r="G59" i="1"/>
  <c r="G58" i="1"/>
  <c r="G56" i="1"/>
  <c r="G55" i="1"/>
  <c r="G53" i="1"/>
  <c r="G52" i="1"/>
  <c r="G50" i="1"/>
  <c r="G49" i="1"/>
  <c r="G47" i="1"/>
  <c r="G46" i="1"/>
  <c r="G44" i="1"/>
  <c r="G43" i="1"/>
  <c r="G41" i="1"/>
  <c r="G40" i="1"/>
  <c r="G38" i="1"/>
  <c r="G37" i="1"/>
  <c r="G35" i="1"/>
  <c r="G34" i="1"/>
  <c r="G32" i="1"/>
  <c r="G31" i="1"/>
  <c r="G29" i="1"/>
  <c r="G28" i="1"/>
  <c r="G26" i="1"/>
  <c r="G25" i="1"/>
  <c r="G23" i="1"/>
  <c r="G22" i="1"/>
  <c r="G20" i="1"/>
  <c r="G19" i="1"/>
  <c r="G17" i="1"/>
  <c r="G16" i="1"/>
  <c r="G14" i="1"/>
  <c r="G13" i="1"/>
  <c r="G11" i="1"/>
  <c r="G10" i="1"/>
</calcChain>
</file>

<file path=xl/sharedStrings.xml><?xml version="1.0" encoding="utf-8"?>
<sst xmlns="http://schemas.openxmlformats.org/spreadsheetml/2006/main" count="325" uniqueCount="221">
  <si>
    <t xml:space="preserve">Listado Espectaculos -Medica -Seguros </t>
  </si>
  <si>
    <t xml:space="preserve">Local </t>
  </si>
  <si>
    <t xml:space="preserve">Domicilio </t>
  </si>
  <si>
    <t xml:space="preserve">Cobertura medica </t>
  </si>
  <si>
    <t xml:space="preserve">Seguro-Resp. Civil </t>
  </si>
  <si>
    <t xml:space="preserve">Alerta/ MES Y AÑOS </t>
  </si>
  <si>
    <t xml:space="preserve">F. Ocupacion </t>
  </si>
  <si>
    <t xml:space="preserve">TELEFONO </t>
  </si>
  <si>
    <t xml:space="preserve">BAR- PUB- </t>
  </si>
  <si>
    <t xml:space="preserve">Bar Sr. Thompson </t>
  </si>
  <si>
    <t>Cordoba 375</t>
  </si>
  <si>
    <t xml:space="preserve">CORPUS S.R.L </t>
  </si>
  <si>
    <t xml:space="preserve">Federacion Patronal </t>
  </si>
  <si>
    <t xml:space="preserve">ESTAMOS ACA </t>
  </si>
  <si>
    <t>Corrientes 581</t>
  </si>
  <si>
    <t xml:space="preserve">BOMBEROS V.M </t>
  </si>
  <si>
    <t xml:space="preserve">37 INT. </t>
  </si>
  <si>
    <t>353-5626745</t>
  </si>
  <si>
    <t xml:space="preserve">SANCO SEGUROS </t>
  </si>
  <si>
    <t xml:space="preserve">32 PATIO </t>
  </si>
  <si>
    <t>Resto Bar La Sanguleria</t>
  </si>
  <si>
    <t>Carlos Pelegrini 165</t>
  </si>
  <si>
    <t xml:space="preserve">San Cristobal </t>
  </si>
  <si>
    <t xml:space="preserve">HOOCK </t>
  </si>
  <si>
    <t>Alem 146</t>
  </si>
  <si>
    <t>215 INT.</t>
  </si>
  <si>
    <t>353-4236186</t>
  </si>
  <si>
    <t>MERCANTIL ANDINA</t>
  </si>
  <si>
    <t xml:space="preserve">BAR BAUDINO </t>
  </si>
  <si>
    <t>Alem 965</t>
  </si>
  <si>
    <t xml:space="preserve">37 SALON </t>
  </si>
  <si>
    <t>353-4092201</t>
  </si>
  <si>
    <t>BAR CAFÉ ( ESTACION)</t>
  </si>
  <si>
    <t>Bv. Sarmiento 1550</t>
  </si>
  <si>
    <t xml:space="preserve">63 SALON </t>
  </si>
  <si>
    <t xml:space="preserve">El Norte </t>
  </si>
  <si>
    <t xml:space="preserve">LIVERPOOL </t>
  </si>
  <si>
    <t xml:space="preserve">Bv españa esq. Rawson </t>
  </si>
  <si>
    <t>323 INT.</t>
  </si>
  <si>
    <t>353-4848158</t>
  </si>
  <si>
    <t>BAR WINSTON LONDON SAS</t>
  </si>
  <si>
    <t>Bv Carcano 476</t>
  </si>
  <si>
    <t>60 INT</t>
  </si>
  <si>
    <t>353-5622870</t>
  </si>
  <si>
    <t xml:space="preserve">GALLO NEGRO </t>
  </si>
  <si>
    <t>Corrientes 595</t>
  </si>
  <si>
    <t>100 SALON</t>
  </si>
  <si>
    <t>351-3577117</t>
  </si>
  <si>
    <t>FEDERACION PATRONAL</t>
  </si>
  <si>
    <t xml:space="preserve">BAR MARACANA </t>
  </si>
  <si>
    <t>Sobral 650</t>
  </si>
  <si>
    <t>120 INT.</t>
  </si>
  <si>
    <t>353-4112842</t>
  </si>
  <si>
    <t xml:space="preserve">BAR RIEGO </t>
  </si>
  <si>
    <t>Bv Carcano 76</t>
  </si>
  <si>
    <t xml:space="preserve">23 INT. </t>
  </si>
  <si>
    <t>353-4827910</t>
  </si>
  <si>
    <t xml:space="preserve">COOP. SEGURO </t>
  </si>
  <si>
    <t>EL RITO</t>
  </si>
  <si>
    <t>P. argentina 766</t>
  </si>
  <si>
    <t xml:space="preserve">130 INT: BAJA </t>
  </si>
  <si>
    <t>353-5181403</t>
  </si>
  <si>
    <t xml:space="preserve">53 Planta Alta </t>
  </si>
  <si>
    <t>FUSION I</t>
  </si>
  <si>
    <t>Bv Sarmiento esq Neuquen</t>
  </si>
  <si>
    <t>100 INT.</t>
  </si>
  <si>
    <t>353-4226260</t>
  </si>
  <si>
    <t>FUSION II</t>
  </si>
  <si>
    <t>Av. Pueblo Originarios esq. Aldo Serrano</t>
  </si>
  <si>
    <t>80 INT.</t>
  </si>
  <si>
    <t>353-4775616</t>
  </si>
  <si>
    <t xml:space="preserve">BAR CAFE LA MUSICA </t>
  </si>
  <si>
    <t>H. Irigoyen 85</t>
  </si>
  <si>
    <t>353-4282012</t>
  </si>
  <si>
    <t xml:space="preserve">MEMOLA </t>
  </si>
  <si>
    <t>San Juan 508</t>
  </si>
  <si>
    <t>353-4455668</t>
  </si>
  <si>
    <t xml:space="preserve">BIERMANIA </t>
  </si>
  <si>
    <t>Bruno Ceballos 336</t>
  </si>
  <si>
    <t xml:space="preserve">300 PATIO </t>
  </si>
  <si>
    <t>353-4143652</t>
  </si>
  <si>
    <t xml:space="preserve">SANCOR SEGURO </t>
  </si>
  <si>
    <t>100 DOMO</t>
  </si>
  <si>
    <t xml:space="preserve">BAR SANTOS </t>
  </si>
  <si>
    <t>Alighieri  y Carcano</t>
  </si>
  <si>
    <t xml:space="preserve">BAR TOMATE </t>
  </si>
  <si>
    <t>San Juan 729</t>
  </si>
  <si>
    <t>40 INT.</t>
  </si>
  <si>
    <t>353-4182556</t>
  </si>
  <si>
    <t>24/0/2024</t>
  </si>
  <si>
    <t xml:space="preserve">120 PATIO </t>
  </si>
  <si>
    <t xml:space="preserve">ALA MANCHADA </t>
  </si>
  <si>
    <t>Rivadavia 418</t>
  </si>
  <si>
    <t xml:space="preserve">107 INT. </t>
  </si>
  <si>
    <t>353-4249656</t>
  </si>
  <si>
    <t xml:space="preserve">BAR MOOD </t>
  </si>
  <si>
    <t xml:space="preserve">Entre Rio 748 </t>
  </si>
  <si>
    <t xml:space="preserve">50 INT. </t>
  </si>
  <si>
    <t>353-4065648</t>
  </si>
  <si>
    <t xml:space="preserve">La Ribera en Vivo </t>
  </si>
  <si>
    <t>Bv Sarmiento 660</t>
  </si>
  <si>
    <t xml:space="preserve">Bomberos </t>
  </si>
  <si>
    <t xml:space="preserve">BOLICHES </t>
  </si>
  <si>
    <t xml:space="preserve">LOLA CRUZ </t>
  </si>
  <si>
    <t>Ruta N 158</t>
  </si>
  <si>
    <t xml:space="preserve">1122 INT. </t>
  </si>
  <si>
    <t>353-4098815</t>
  </si>
  <si>
    <t xml:space="preserve">1110 PATIO </t>
  </si>
  <si>
    <t xml:space="preserve">SUPPER CLUB VILLA MARIA </t>
  </si>
  <si>
    <t xml:space="preserve"> Ruta Prov. N 2 S/N </t>
  </si>
  <si>
    <t xml:space="preserve">Vital </t>
  </si>
  <si>
    <t>1350 INT.</t>
  </si>
  <si>
    <t>353-5699043</t>
  </si>
  <si>
    <t>El Norte</t>
  </si>
  <si>
    <t xml:space="preserve">1200 PATIO </t>
  </si>
  <si>
    <t>DISC. CHILL</t>
  </si>
  <si>
    <t>Av colon 1100</t>
  </si>
  <si>
    <t xml:space="preserve">388 IMT. </t>
  </si>
  <si>
    <t>353-4011158</t>
  </si>
  <si>
    <t xml:space="preserve">El NORTE </t>
  </si>
  <si>
    <t xml:space="preserve">AMSTERDAN </t>
  </si>
  <si>
    <t>Ruta 158  km 154</t>
  </si>
  <si>
    <t xml:space="preserve">1316 INT. </t>
  </si>
  <si>
    <t>353-5690629</t>
  </si>
  <si>
    <t xml:space="preserve">940 PATIO </t>
  </si>
  <si>
    <t xml:space="preserve">ROUGE </t>
  </si>
  <si>
    <t>Av Pte. Peron 1665</t>
  </si>
  <si>
    <t xml:space="preserve">1236 INT. </t>
  </si>
  <si>
    <t>353-4290206</t>
  </si>
  <si>
    <t xml:space="preserve">SALON DE FIESTA </t>
  </si>
  <si>
    <t xml:space="preserve">LAS MORAS MULTESPACIO </t>
  </si>
  <si>
    <t xml:space="preserve">Jose Riesco Esq. Iguazu </t>
  </si>
  <si>
    <t>150 INT.</t>
  </si>
  <si>
    <t>353-4114881</t>
  </si>
  <si>
    <t xml:space="preserve">Sancor Seguros </t>
  </si>
  <si>
    <t xml:space="preserve">PEÑA LA CANTINA </t>
  </si>
  <si>
    <t>Velesarfield 2680</t>
  </si>
  <si>
    <t>353-4265594</t>
  </si>
  <si>
    <t xml:space="preserve">El Norte Seguro </t>
  </si>
  <si>
    <t xml:space="preserve">ROYAL HOUSE </t>
  </si>
  <si>
    <t>Ruta N*9 Km 554</t>
  </si>
  <si>
    <t>Baile 1200</t>
  </si>
  <si>
    <t>353-4014366</t>
  </si>
  <si>
    <t xml:space="preserve">La Segunda </t>
  </si>
  <si>
    <t xml:space="preserve">500 Cena </t>
  </si>
  <si>
    <t xml:space="preserve">SALON AMERIA </t>
  </si>
  <si>
    <t>Ruta N* 158 km 156</t>
  </si>
  <si>
    <t xml:space="preserve">400 INT </t>
  </si>
  <si>
    <t>353-4822233</t>
  </si>
  <si>
    <t xml:space="preserve">420 H. REST. </t>
  </si>
  <si>
    <t>A.T.I.L.R.A.</t>
  </si>
  <si>
    <t>Ruta 158 Km 162</t>
  </si>
  <si>
    <t>353-4201552</t>
  </si>
  <si>
    <t xml:space="preserve">Berkley A.Seguro </t>
  </si>
  <si>
    <t xml:space="preserve">SALON DE A.T.E. </t>
  </si>
  <si>
    <t>Santa Fe 1550</t>
  </si>
  <si>
    <t>416 INT.</t>
  </si>
  <si>
    <t xml:space="preserve">Cooperacion seguro </t>
  </si>
  <si>
    <t xml:space="preserve">SOCIEDAD RURAL </t>
  </si>
  <si>
    <t>Ruta N 9 km 563</t>
  </si>
  <si>
    <t xml:space="preserve">943 BAILE </t>
  </si>
  <si>
    <t xml:space="preserve">465 CENA </t>
  </si>
  <si>
    <t>SMATA</t>
  </si>
  <si>
    <t>RUTA N 9 KM 552</t>
  </si>
  <si>
    <t>CORPUS S.R.L.</t>
  </si>
  <si>
    <t xml:space="preserve">241 CENA </t>
  </si>
  <si>
    <t xml:space="preserve">724 BAILE </t>
  </si>
  <si>
    <t xml:space="preserve">S.U.O.E.M </t>
  </si>
  <si>
    <t xml:space="preserve">Alfonsina storni y Av. Costanera </t>
  </si>
  <si>
    <t>VITAL</t>
  </si>
  <si>
    <t xml:space="preserve">388 INT. </t>
  </si>
  <si>
    <t>353-6576017</t>
  </si>
  <si>
    <t xml:space="preserve">MUNDO ROJO </t>
  </si>
  <si>
    <t>Av. Pte Peron 1576</t>
  </si>
  <si>
    <t xml:space="preserve">1045 SALON </t>
  </si>
  <si>
    <t>353-6570277</t>
  </si>
  <si>
    <t xml:space="preserve">MUNDO ROJO EVENTOS </t>
  </si>
  <si>
    <t xml:space="preserve">2090 SALON </t>
  </si>
  <si>
    <t>353-4062147</t>
  </si>
  <si>
    <t xml:space="preserve">SALON DE LOS DEPORTES </t>
  </si>
  <si>
    <t>Bv. España y Bv. Jaurecht</t>
  </si>
  <si>
    <t>5250 Evento</t>
  </si>
  <si>
    <t xml:space="preserve">El NORTE SEGURO </t>
  </si>
  <si>
    <t>2404 Deporte</t>
  </si>
  <si>
    <t xml:space="preserve">CLUB- CENTRO VECINALES </t>
  </si>
  <si>
    <t xml:space="preserve">CLUB DE LOS ABUELOS </t>
  </si>
  <si>
    <t>Salta 1555</t>
  </si>
  <si>
    <t>380 planta baj.</t>
  </si>
  <si>
    <t>353-4143886</t>
  </si>
  <si>
    <t xml:space="preserve">120 planta alt. </t>
  </si>
  <si>
    <t xml:space="preserve">CLUB SPORTIVO JUNIOS </t>
  </si>
  <si>
    <t>Peru 2950</t>
  </si>
  <si>
    <t>353-4275290</t>
  </si>
  <si>
    <t xml:space="preserve">SEGURO- RUS </t>
  </si>
  <si>
    <t xml:space="preserve">CENTRO VECINAL B* LOS OLMOS </t>
  </si>
  <si>
    <t>Incahuasi 368</t>
  </si>
  <si>
    <t xml:space="preserve">CENTRO B* SAN JUSTO </t>
  </si>
  <si>
    <t xml:space="preserve">Constancio Vigil esp Ituzaigo </t>
  </si>
  <si>
    <t>CENTRO VECINAL B* R. SAENZ P.</t>
  </si>
  <si>
    <t>Estado Unidos 847</t>
  </si>
  <si>
    <t>CENTRO DE EMP. DE COMERCIO</t>
  </si>
  <si>
    <t xml:space="preserve">Jose Riesco y L. Blaca </t>
  </si>
  <si>
    <t>170 SALON G.</t>
  </si>
  <si>
    <t xml:space="preserve">Coop. Seguro </t>
  </si>
  <si>
    <t>60 SALON C</t>
  </si>
  <si>
    <t xml:space="preserve">CLUB RIVADAVIA </t>
  </si>
  <si>
    <t xml:space="preserve">25 de mayo esp. Bolivia </t>
  </si>
  <si>
    <t xml:space="preserve">846 SALON </t>
  </si>
  <si>
    <t xml:space="preserve">CLUB  SARMIENTO </t>
  </si>
  <si>
    <t>Antonio Sobral 895</t>
  </si>
  <si>
    <t xml:space="preserve">CENTRO VECINAL B. HORIZONTE </t>
  </si>
  <si>
    <t xml:space="preserve">Cartagena y Monte Hermoso </t>
  </si>
  <si>
    <t xml:space="preserve">CENTRO VECINAL C. PELEGRINI </t>
  </si>
  <si>
    <t>Lopez y Planes 859</t>
  </si>
  <si>
    <t xml:space="preserve">CENTRO VECINAL SAN MARTIN </t>
  </si>
  <si>
    <t>17 de Agosto 450</t>
  </si>
  <si>
    <t xml:space="preserve">Centro Vecinal Almirante Brown </t>
  </si>
  <si>
    <t>Lisandro de la torre 858</t>
  </si>
  <si>
    <t xml:space="preserve">Habilitado </t>
  </si>
  <si>
    <t xml:space="preserve">No Habiltado </t>
  </si>
  <si>
    <t xml:space="preserve">Fecha de Inspecion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</si>
</sst>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36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6" xfId="0" applyBorder="1"/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0" borderId="6" xfId="0" applyFont="1" applyBorder="1"/>
    <xf numFmtId="0" fontId="3" fillId="5" borderId="6" xfId="0" applyFont="1" applyFill="1" applyBorder="1" applyAlignment="1">
      <alignment horizontal="center"/>
    </xf>
    <xf numFmtId="17" fontId="3" fillId="6" borderId="6" xfId="0" applyNumberFormat="1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17" fontId="3" fillId="9" borderId="6" xfId="0" applyNumberFormat="1" applyFont="1" applyFill="1" applyBorder="1" applyAlignment="1">
      <alignment horizontal="center"/>
    </xf>
    <xf numFmtId="14" fontId="5" fillId="10" borderId="6" xfId="0" applyNumberFormat="1" applyFont="1" applyFill="1" applyBorder="1" applyAlignment="1">
      <alignment vertical="center"/>
    </xf>
    <xf numFmtId="14" fontId="6" fillId="10" borderId="6" xfId="0" applyNumberFormat="1" applyFont="1" applyFill="1" applyBorder="1" applyAlignment="1">
      <alignment horizontal="center" vertical="center"/>
    </xf>
    <xf numFmtId="14" fontId="6" fillId="10" borderId="6" xfId="0" applyNumberFormat="1" applyFont="1" applyFill="1" applyBorder="1" applyAlignment="1">
      <alignment horizontal="left" vertical="center"/>
    </xf>
    <xf numFmtId="14" fontId="7" fillId="10" borderId="6" xfId="0" applyNumberFormat="1" applyFont="1" applyFill="1" applyBorder="1" applyAlignment="1">
      <alignment horizontal="right" vertical="center"/>
    </xf>
    <xf numFmtId="14" fontId="4" fillId="10" borderId="6" xfId="0" applyNumberFormat="1" applyFont="1" applyFill="1" applyBorder="1" applyAlignment="1">
      <alignment horizontal="center"/>
    </xf>
    <xf numFmtId="0" fontId="7" fillId="10" borderId="6" xfId="0" applyFont="1" applyFill="1" applyBorder="1" applyAlignment="1">
      <alignment horizontal="right" vertical="center"/>
    </xf>
    <xf numFmtId="0" fontId="3" fillId="10" borderId="6" xfId="0" applyFont="1" applyFill="1" applyBorder="1" applyAlignment="1">
      <alignment horizontal="center"/>
    </xf>
    <xf numFmtId="0" fontId="0" fillId="10" borderId="7" xfId="0" applyFill="1" applyBorder="1"/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/>
    <xf numFmtId="14" fontId="7" fillId="3" borderId="6" xfId="0" applyNumberFormat="1" applyFont="1" applyFill="1" applyBorder="1" applyAlignment="1">
      <alignment horizontal="right" vertical="center"/>
    </xf>
    <xf numFmtId="14" fontId="4" fillId="3" borderId="6" xfId="0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right" vertical="center"/>
    </xf>
    <xf numFmtId="17" fontId="3" fillId="2" borderId="6" xfId="0" applyNumberFormat="1" applyFont="1" applyFill="1" applyBorder="1" applyAlignment="1">
      <alignment horizontal="center"/>
    </xf>
    <xf numFmtId="14" fontId="7" fillId="11" borderId="6" xfId="0" applyNumberFormat="1" applyFont="1" applyFill="1" applyBorder="1" applyAlignment="1">
      <alignment horizontal="right" vertical="center"/>
    </xf>
    <xf numFmtId="14" fontId="4" fillId="11" borderId="6" xfId="0" applyNumberFormat="1" applyFont="1" applyFill="1" applyBorder="1" applyAlignment="1">
      <alignment horizontal="center"/>
    </xf>
    <xf numFmtId="0" fontId="7" fillId="11" borderId="6" xfId="0" applyFont="1" applyFill="1" applyBorder="1" applyAlignment="1">
      <alignment horizontal="right" vertical="center"/>
    </xf>
    <xf numFmtId="14" fontId="5" fillId="0" borderId="6" xfId="0" applyNumberFormat="1" applyFont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3" fillId="6" borderId="6" xfId="0" applyFont="1" applyFill="1" applyBorder="1" applyAlignment="1">
      <alignment horizontal="center"/>
    </xf>
    <xf numFmtId="14" fontId="6" fillId="0" borderId="6" xfId="0" applyNumberFormat="1" applyFont="1" applyBorder="1" applyAlignment="1">
      <alignment horizontal="center" vertical="center"/>
    </xf>
    <xf numFmtId="14" fontId="5" fillId="11" borderId="6" xfId="0" applyNumberFormat="1" applyFont="1" applyFill="1" applyBorder="1" applyAlignment="1">
      <alignment vertical="center"/>
    </xf>
    <xf numFmtId="14" fontId="6" fillId="11" borderId="6" xfId="0" applyNumberFormat="1" applyFont="1" applyFill="1" applyBorder="1" applyAlignment="1">
      <alignment horizontal="left" vertical="center"/>
    </xf>
    <xf numFmtId="0" fontId="0" fillId="0" borderId="7" xfId="0" applyBorder="1"/>
    <xf numFmtId="0" fontId="0" fillId="3" borderId="6" xfId="0" applyFill="1" applyBorder="1" applyAlignment="1">
      <alignment horizontal="left"/>
    </xf>
    <xf numFmtId="14" fontId="5" fillId="12" borderId="6" xfId="0" applyNumberFormat="1" applyFont="1" applyFill="1" applyBorder="1" applyAlignment="1">
      <alignment vertical="center"/>
    </xf>
    <xf numFmtId="14" fontId="5" fillId="4" borderId="6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8" fillId="4" borderId="6" xfId="0" applyFont="1" applyFill="1" applyBorder="1"/>
    <xf numFmtId="14" fontId="6" fillId="4" borderId="6" xfId="0" applyNumberFormat="1" applyFont="1" applyFill="1" applyBorder="1" applyAlignment="1">
      <alignment horizontal="left" vertical="center"/>
    </xf>
    <xf numFmtId="14" fontId="7" fillId="4" borderId="6" xfId="0" applyNumberFormat="1" applyFont="1" applyFill="1" applyBorder="1" applyAlignment="1">
      <alignment horizontal="right" vertical="center"/>
    </xf>
    <xf numFmtId="14" fontId="4" fillId="4" borderId="6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right" vertical="center"/>
    </xf>
    <xf numFmtId="14" fontId="5" fillId="2" borderId="6" xfId="0" applyNumberFormat="1" applyFont="1" applyFill="1" applyBorder="1" applyAlignment="1">
      <alignment vertical="center"/>
    </xf>
    <xf numFmtId="14" fontId="6" fillId="2" borderId="6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8" fillId="12" borderId="6" xfId="0" applyFont="1" applyFill="1" applyBorder="1"/>
    <xf numFmtId="0" fontId="8" fillId="11" borderId="6" xfId="0" applyFont="1" applyFill="1" applyBorder="1"/>
    <xf numFmtId="0" fontId="3" fillId="11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8" fillId="10" borderId="6" xfId="0" applyFont="1" applyFill="1" applyBorder="1"/>
    <xf numFmtId="14" fontId="5" fillId="2" borderId="6" xfId="0" applyNumberFormat="1" applyFont="1" applyFill="1" applyBorder="1" applyAlignment="1">
      <alignment horizontal="left" vertical="center"/>
    </xf>
    <xf numFmtId="14" fontId="5" fillId="4" borderId="6" xfId="0" applyNumberFormat="1" applyFont="1" applyFill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0" fontId="3" fillId="11" borderId="6" xfId="0" applyFont="1" applyFill="1" applyBorder="1" applyAlignment="1">
      <alignment horizontal="left"/>
    </xf>
    <xf numFmtId="0" fontId="8" fillId="0" borderId="6" xfId="0" applyFont="1" applyBorder="1"/>
    <xf numFmtId="14" fontId="5" fillId="10" borderId="6" xfId="0" applyNumberFormat="1" applyFont="1" applyFill="1" applyBorder="1" applyAlignment="1">
      <alignment horizontal="right" vertical="center"/>
    </xf>
    <xf numFmtId="14" fontId="5" fillId="13" borderId="6" xfId="0" applyNumberFormat="1" applyFont="1" applyFill="1" applyBorder="1" applyAlignment="1">
      <alignment horizontal="right" vertical="center"/>
    </xf>
    <xf numFmtId="14" fontId="6" fillId="13" borderId="6" xfId="0" applyNumberFormat="1" applyFont="1" applyFill="1" applyBorder="1" applyAlignment="1">
      <alignment horizontal="center" vertical="center"/>
    </xf>
    <xf numFmtId="14" fontId="6" fillId="13" borderId="6" xfId="0" applyNumberFormat="1" applyFont="1" applyFill="1" applyBorder="1" applyAlignment="1">
      <alignment horizontal="left" vertical="center"/>
    </xf>
    <xf numFmtId="14" fontId="7" fillId="13" borderId="6" xfId="0" applyNumberFormat="1" applyFont="1" applyFill="1" applyBorder="1" applyAlignment="1">
      <alignment horizontal="right" vertical="center"/>
    </xf>
    <xf numFmtId="14" fontId="4" fillId="13" borderId="6" xfId="0" applyNumberFormat="1" applyFont="1" applyFill="1" applyBorder="1" applyAlignment="1">
      <alignment horizontal="center"/>
    </xf>
    <xf numFmtId="0" fontId="7" fillId="13" borderId="6" xfId="0" applyFont="1" applyFill="1" applyBorder="1" applyAlignment="1">
      <alignment horizontal="right" vertical="center"/>
    </xf>
    <xf numFmtId="0" fontId="3" fillId="13" borderId="6" xfId="0" applyFont="1" applyFill="1" applyBorder="1" applyAlignment="1">
      <alignment horizontal="center"/>
    </xf>
    <xf numFmtId="0" fontId="8" fillId="13" borderId="6" xfId="0" applyFont="1" applyFill="1" applyBorder="1"/>
    <xf numFmtId="0" fontId="3" fillId="13" borderId="6" xfId="0" applyFont="1" applyFill="1" applyBorder="1" applyAlignment="1">
      <alignment horizontal="left"/>
    </xf>
    <xf numFmtId="0" fontId="3" fillId="0" borderId="6" xfId="0" applyFont="1" applyBorder="1"/>
    <xf numFmtId="0" fontId="4" fillId="11" borderId="6" xfId="0" applyFont="1" applyFill="1" applyBorder="1"/>
    <xf numFmtId="0" fontId="8" fillId="14" borderId="6" xfId="0" applyFont="1" applyFill="1" applyBorder="1" applyAlignment="1">
      <alignment horizontal="center"/>
    </xf>
    <xf numFmtId="0" fontId="8" fillId="9" borderId="6" xfId="0" applyFont="1" applyFill="1" applyBorder="1"/>
    <xf numFmtId="0" fontId="3" fillId="9" borderId="6" xfId="0" applyFont="1" applyFill="1" applyBorder="1" applyAlignment="1">
      <alignment horizontal="left"/>
    </xf>
    <xf numFmtId="14" fontId="7" fillId="9" borderId="6" xfId="0" applyNumberFormat="1" applyFont="1" applyFill="1" applyBorder="1" applyAlignment="1">
      <alignment horizontal="right" vertical="center"/>
    </xf>
    <xf numFmtId="14" fontId="4" fillId="9" borderId="6" xfId="0" applyNumberFormat="1" applyFont="1" applyFill="1" applyBorder="1" applyAlignment="1">
      <alignment horizontal="center"/>
    </xf>
    <xf numFmtId="0" fontId="7" fillId="9" borderId="6" xfId="0" applyFont="1" applyFill="1" applyBorder="1" applyAlignment="1">
      <alignment horizontal="right" vertical="center"/>
    </xf>
    <xf numFmtId="14" fontId="6" fillId="3" borderId="6" xfId="0" applyNumberFormat="1" applyFont="1" applyFill="1" applyBorder="1" applyAlignment="1">
      <alignment horizontal="left" vertical="center"/>
    </xf>
    <xf numFmtId="0" fontId="3" fillId="10" borderId="6" xfId="0" applyFont="1" applyFill="1" applyBorder="1" applyAlignment="1">
      <alignment horizontal="left"/>
    </xf>
    <xf numFmtId="0" fontId="0" fillId="11" borderId="6" xfId="0" applyFill="1" applyBorder="1"/>
    <xf numFmtId="0" fontId="0" fillId="11" borderId="6" xfId="0" applyFill="1" applyBorder="1" applyAlignment="1">
      <alignment horizontal="left"/>
    </xf>
    <xf numFmtId="0" fontId="8" fillId="3" borderId="6" xfId="0" applyFont="1" applyFill="1" applyBorder="1"/>
    <xf numFmtId="0" fontId="3" fillId="3" borderId="6" xfId="0" applyFont="1" applyFill="1" applyBorder="1" applyAlignment="1">
      <alignment horizontal="left"/>
    </xf>
    <xf numFmtId="0" fontId="9" fillId="13" borderId="6" xfId="0" applyFont="1" applyFill="1" applyBorder="1" applyAlignment="1">
      <alignment horizontal="center"/>
    </xf>
    <xf numFmtId="0" fontId="9" fillId="13" borderId="6" xfId="0" applyFont="1" applyFill="1" applyBorder="1" applyAlignment="1">
      <alignment horizontal="left"/>
    </xf>
    <xf numFmtId="0" fontId="3" fillId="10" borderId="6" xfId="0" applyFont="1" applyFill="1" applyBorder="1"/>
    <xf numFmtId="0" fontId="0" fillId="10" borderId="6" xfId="0" applyFill="1" applyBorder="1"/>
    <xf numFmtId="0" fontId="0" fillId="10" borderId="6" xfId="0" applyFill="1" applyBorder="1" applyAlignment="1">
      <alignment horizontal="left"/>
    </xf>
    <xf numFmtId="0" fontId="3" fillId="14" borderId="6" xfId="0" applyFont="1" applyFill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left"/>
    </xf>
    <xf numFmtId="14" fontId="5" fillId="11" borderId="6" xfId="0" applyNumberFormat="1" applyFont="1" applyFill="1" applyBorder="1" applyAlignment="1">
      <alignment horizontal="left" vertical="center"/>
    </xf>
    <xf numFmtId="0" fontId="4" fillId="10" borderId="6" xfId="0" applyFont="1" applyFill="1" applyBorder="1"/>
    <xf numFmtId="0" fontId="0" fillId="10" borderId="6" xfId="0" applyFill="1" applyBorder="1" applyAlignment="1">
      <alignment horizontal="center"/>
    </xf>
    <xf numFmtId="0" fontId="3" fillId="11" borderId="6" xfId="0" applyFont="1" applyFill="1" applyBorder="1"/>
    <xf numFmtId="0" fontId="3" fillId="2" borderId="6" xfId="0" applyFont="1" applyFill="1" applyBorder="1"/>
    <xf numFmtId="14" fontId="6" fillId="10" borderId="6" xfId="0" applyNumberFormat="1" applyFont="1" applyFill="1" applyBorder="1" applyAlignment="1">
      <alignment horizontal="right" vertical="center"/>
    </xf>
    <xf numFmtId="0" fontId="3" fillId="4" borderId="6" xfId="0" applyFont="1" applyFill="1" applyBorder="1"/>
    <xf numFmtId="0" fontId="0" fillId="15" borderId="6" xfId="0" applyFill="1" applyBorder="1"/>
    <xf numFmtId="14" fontId="6" fillId="15" borderId="6" xfId="0" applyNumberFormat="1" applyFont="1" applyFill="1" applyBorder="1" applyAlignment="1">
      <alignment horizontal="left" vertical="center"/>
    </xf>
    <xf numFmtId="14" fontId="7" fillId="15" borderId="6" xfId="0" applyNumberFormat="1" applyFont="1" applyFill="1" applyBorder="1" applyAlignment="1">
      <alignment horizontal="right" vertical="center"/>
    </xf>
    <xf numFmtId="14" fontId="4" fillId="15" borderId="6" xfId="0" applyNumberFormat="1" applyFont="1" applyFill="1" applyBorder="1" applyAlignment="1">
      <alignment horizontal="center"/>
    </xf>
    <xf numFmtId="0" fontId="7" fillId="15" borderId="6" xfId="0" applyFont="1" applyFill="1" applyBorder="1" applyAlignment="1">
      <alignment horizontal="right" vertical="center"/>
    </xf>
    <xf numFmtId="14" fontId="7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0" fillId="7" borderId="7" xfId="0" applyFill="1" applyBorder="1"/>
    <xf numFmtId="0" fontId="0" fillId="7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0</xdr:rowOff>
    </xdr:from>
    <xdr:to>
      <xdr:col>0</xdr:col>
      <xdr:colOff>1358795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3B4348-523D-4281-955F-407B224C1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0"/>
          <a:ext cx="682520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812C-C384-47A0-A304-B07E8DEB2B72}">
  <dimension ref="A1:L165"/>
  <sheetViews>
    <sheetView tabSelected="1" topLeftCell="A7" workbookViewId="0">
      <selection activeCell="F13" sqref="F13"/>
    </sheetView>
  </sheetViews>
  <sheetFormatPr baseColWidth="10" defaultRowHeight="15" x14ac:dyDescent="0.25"/>
  <cols>
    <col min="1" max="1" width="32.7109375" bestFit="1" customWidth="1"/>
    <col min="2" max="2" width="39" bestFit="1" customWidth="1"/>
    <col min="3" max="3" width="18" bestFit="1" customWidth="1"/>
    <col min="4" max="4" width="23.85546875" bestFit="1" customWidth="1"/>
    <col min="5" max="5" width="11.85546875" bestFit="1" customWidth="1"/>
    <col min="6" max="6" width="19.85546875" bestFit="1" customWidth="1"/>
    <col min="7" max="7" width="6.28515625" bestFit="1" customWidth="1"/>
    <col min="8" max="8" width="14.28515625" bestFit="1" customWidth="1"/>
    <col min="10" max="10" width="12.5703125" customWidth="1"/>
    <col min="11" max="11" width="13" bestFit="1" customWidth="1"/>
    <col min="12" max="12" width="18.42578125" bestFit="1" customWidth="1"/>
  </cols>
  <sheetData>
    <row r="1" spans="1:12" x14ac:dyDescent="0.25">
      <c r="A1" s="110" t="s">
        <v>0</v>
      </c>
      <c r="B1" s="111"/>
      <c r="C1" s="111"/>
      <c r="D1" s="111"/>
      <c r="E1" s="111"/>
      <c r="F1" s="111"/>
      <c r="G1" s="111"/>
      <c r="H1" s="111"/>
    </row>
    <row r="2" spans="1:12" x14ac:dyDescent="0.25">
      <c r="A2" s="112"/>
      <c r="B2" s="113"/>
      <c r="C2" s="113"/>
      <c r="D2" s="113"/>
      <c r="E2" s="113"/>
      <c r="F2" s="113"/>
      <c r="G2" s="113"/>
      <c r="H2" s="113"/>
    </row>
    <row r="3" spans="1:12" x14ac:dyDescent="0.25">
      <c r="A3" s="112"/>
      <c r="B3" s="113"/>
      <c r="C3" s="113"/>
      <c r="D3" s="113"/>
      <c r="E3" s="113"/>
      <c r="F3" s="113"/>
      <c r="G3" s="113"/>
      <c r="H3" s="113"/>
    </row>
    <row r="4" spans="1:12" x14ac:dyDescent="0.25">
      <c r="A4" s="114"/>
      <c r="B4" s="115"/>
      <c r="C4" s="115"/>
      <c r="D4" s="115"/>
      <c r="E4" s="115"/>
      <c r="F4" s="115"/>
      <c r="G4" s="115"/>
      <c r="H4" s="115"/>
    </row>
    <row r="5" spans="1:12" x14ac:dyDescent="0.25">
      <c r="I5" s="35"/>
      <c r="J5" s="1"/>
      <c r="K5" s="1"/>
    </row>
    <row r="6" spans="1:12" x14ac:dyDescent="0.25">
      <c r="A6" s="116" t="s">
        <v>1</v>
      </c>
      <c r="B6" s="116" t="s">
        <v>2</v>
      </c>
      <c r="C6" s="117" t="s">
        <v>3</v>
      </c>
      <c r="D6" s="118" t="s">
        <v>4</v>
      </c>
      <c r="E6" s="5"/>
      <c r="F6" s="5"/>
      <c r="G6" s="5"/>
      <c r="H6" s="5"/>
      <c r="I6" s="35"/>
      <c r="J6" s="108" t="s">
        <v>218</v>
      </c>
      <c r="K6" s="109" t="s">
        <v>219</v>
      </c>
      <c r="L6" s="1" t="s">
        <v>220</v>
      </c>
    </row>
    <row r="7" spans="1:12" x14ac:dyDescent="0.25">
      <c r="A7" s="116"/>
      <c r="B7" s="116"/>
      <c r="C7" s="117"/>
      <c r="D7" s="118"/>
      <c r="E7" s="6"/>
      <c r="F7" s="6" t="s">
        <v>5</v>
      </c>
      <c r="G7" s="6"/>
      <c r="H7" s="7" t="s">
        <v>6</v>
      </c>
      <c r="I7" s="106" t="s">
        <v>7</v>
      </c>
      <c r="J7" s="1"/>
      <c r="K7" s="35"/>
      <c r="L7" s="1"/>
    </row>
    <row r="8" spans="1:12" x14ac:dyDescent="0.25">
      <c r="A8" s="8" t="s">
        <v>8</v>
      </c>
      <c r="B8" s="9"/>
      <c r="C8" s="9"/>
      <c r="D8" s="9"/>
      <c r="E8" s="9"/>
      <c r="F8" s="9"/>
      <c r="G8" s="9"/>
      <c r="H8" s="10"/>
      <c r="I8" s="35"/>
      <c r="J8" s="1"/>
      <c r="K8" s="35"/>
      <c r="L8" s="1"/>
    </row>
    <row r="9" spans="1:12" x14ac:dyDescent="0.25">
      <c r="A9" s="11"/>
      <c r="B9" s="12"/>
      <c r="C9" s="11"/>
      <c r="D9" s="13"/>
      <c r="E9" s="14"/>
      <c r="F9" s="15"/>
      <c r="G9" s="16"/>
      <c r="H9" s="17"/>
      <c r="I9" s="18"/>
      <c r="J9" s="18"/>
      <c r="K9" s="18"/>
      <c r="L9" s="18"/>
    </row>
    <row r="10" spans="1:12" x14ac:dyDescent="0.25">
      <c r="A10" s="19" t="s">
        <v>9</v>
      </c>
      <c r="B10" s="20" t="s">
        <v>10</v>
      </c>
      <c r="C10" s="21" t="s">
        <v>11</v>
      </c>
      <c r="D10" s="3"/>
      <c r="E10" s="22">
        <v>45689</v>
      </c>
      <c r="F10" s="23">
        <v>45717</v>
      </c>
      <c r="G10" s="24">
        <f ca="1">DAYS360(TODAY(),F10)</f>
        <v>-64</v>
      </c>
      <c r="H10" s="25"/>
      <c r="I10" s="35"/>
      <c r="J10" s="1"/>
      <c r="K10" s="35"/>
      <c r="L10" s="1"/>
    </row>
    <row r="11" spans="1:12" x14ac:dyDescent="0.25">
      <c r="A11" s="19" t="s">
        <v>9</v>
      </c>
      <c r="B11" s="20"/>
      <c r="C11" s="4"/>
      <c r="D11" s="4" t="s">
        <v>12</v>
      </c>
      <c r="E11" s="26">
        <v>45707</v>
      </c>
      <c r="F11" s="27">
        <v>45735</v>
      </c>
      <c r="G11" s="28">
        <f ca="1">DAYS360(TODAY(),F11)</f>
        <v>-46</v>
      </c>
      <c r="H11" s="25"/>
      <c r="I11" s="35"/>
      <c r="J11" s="1"/>
      <c r="K11" s="35"/>
      <c r="L11" s="1"/>
    </row>
    <row r="12" spans="1:12" x14ac:dyDescent="0.25">
      <c r="A12" s="11"/>
      <c r="B12" s="12"/>
      <c r="C12" s="11"/>
      <c r="D12" s="13"/>
      <c r="E12" s="14"/>
      <c r="F12" s="15"/>
      <c r="G12" s="16"/>
      <c r="H12" s="17"/>
      <c r="I12" s="18"/>
      <c r="J12" s="18"/>
      <c r="K12" s="18"/>
      <c r="L12" s="18"/>
    </row>
    <row r="13" spans="1:12" x14ac:dyDescent="0.25">
      <c r="A13" s="29" t="s">
        <v>13</v>
      </c>
      <c r="B13" s="20" t="s">
        <v>14</v>
      </c>
      <c r="C13" s="30" t="s">
        <v>15</v>
      </c>
      <c r="D13" s="21"/>
      <c r="E13" s="22">
        <v>45597</v>
      </c>
      <c r="F13" s="23">
        <v>45627</v>
      </c>
      <c r="G13" s="24">
        <f ca="1">DAYS360(TODAY(),F13)</f>
        <v>-154</v>
      </c>
      <c r="H13" s="31" t="s">
        <v>16</v>
      </c>
      <c r="I13" s="107" t="s">
        <v>17</v>
      </c>
      <c r="J13" s="1"/>
      <c r="K13" s="35"/>
      <c r="L13" s="1"/>
    </row>
    <row r="14" spans="1:12" x14ac:dyDescent="0.25">
      <c r="A14" s="29" t="s">
        <v>13</v>
      </c>
      <c r="B14" s="32"/>
      <c r="C14" s="33"/>
      <c r="D14" s="34" t="s">
        <v>18</v>
      </c>
      <c r="E14" s="26">
        <v>45405</v>
      </c>
      <c r="F14" s="27">
        <v>45597</v>
      </c>
      <c r="G14" s="28">
        <f ca="1">DAYS360(TODAY(),F14)</f>
        <v>-184</v>
      </c>
      <c r="H14" s="31" t="s">
        <v>19</v>
      </c>
      <c r="I14" s="35"/>
      <c r="J14" s="1"/>
      <c r="K14" s="35"/>
      <c r="L14" s="1"/>
    </row>
    <row r="15" spans="1:12" x14ac:dyDescent="0.25">
      <c r="A15" s="11"/>
      <c r="B15" s="12"/>
      <c r="C15" s="11"/>
      <c r="D15" s="13"/>
      <c r="E15" s="14"/>
      <c r="F15" s="15"/>
      <c r="G15" s="16"/>
      <c r="H15" s="17"/>
      <c r="I15" s="18"/>
      <c r="J15" s="18"/>
      <c r="K15" s="18"/>
      <c r="L15" s="18"/>
    </row>
    <row r="16" spans="1:12" x14ac:dyDescent="0.25">
      <c r="A16" s="29" t="s">
        <v>20</v>
      </c>
      <c r="B16" s="2" t="s">
        <v>21</v>
      </c>
      <c r="C16" s="21" t="s">
        <v>11</v>
      </c>
      <c r="D16" s="36"/>
      <c r="E16" s="22">
        <v>45627</v>
      </c>
      <c r="F16" s="23">
        <v>45658</v>
      </c>
      <c r="G16" s="24">
        <f ca="1">DAYS360(TODAY(),F16)</f>
        <v>-124</v>
      </c>
      <c r="H16" s="31"/>
      <c r="I16" s="106"/>
      <c r="J16" s="1"/>
      <c r="K16" s="35"/>
      <c r="L16" s="1"/>
    </row>
    <row r="17" spans="1:12" x14ac:dyDescent="0.25">
      <c r="A17" s="29" t="s">
        <v>20</v>
      </c>
      <c r="B17" s="2"/>
      <c r="C17" s="33"/>
      <c r="D17" s="34" t="s">
        <v>22</v>
      </c>
      <c r="E17" s="26">
        <v>45546</v>
      </c>
      <c r="F17" s="27">
        <v>45727</v>
      </c>
      <c r="G17" s="28">
        <f ca="1">DAYS360(TODAY(),F17)</f>
        <v>-54</v>
      </c>
      <c r="H17" s="31"/>
      <c r="I17" s="106"/>
      <c r="J17" s="1"/>
      <c r="K17" s="35"/>
      <c r="L17" s="1"/>
    </row>
    <row r="18" spans="1:12" x14ac:dyDescent="0.25">
      <c r="A18" s="11"/>
      <c r="B18" s="12"/>
      <c r="C18" s="11"/>
      <c r="D18" s="13"/>
      <c r="E18" s="14"/>
      <c r="F18" s="15"/>
      <c r="G18" s="16"/>
      <c r="H18" s="17"/>
      <c r="I18" s="18"/>
      <c r="J18" s="18"/>
      <c r="K18" s="18"/>
      <c r="L18" s="18"/>
    </row>
    <row r="19" spans="1:12" x14ac:dyDescent="0.25">
      <c r="A19" s="37" t="s">
        <v>23</v>
      </c>
      <c r="B19" s="2" t="s">
        <v>24</v>
      </c>
      <c r="C19" s="21" t="s">
        <v>11</v>
      </c>
      <c r="D19" s="36"/>
      <c r="E19" s="22">
        <v>45597</v>
      </c>
      <c r="F19" s="23">
        <v>45627</v>
      </c>
      <c r="G19" s="24">
        <f ca="1">DAYS360(TODAY(),F19)</f>
        <v>-154</v>
      </c>
      <c r="H19" s="31" t="s">
        <v>25</v>
      </c>
      <c r="I19" s="106" t="s">
        <v>26</v>
      </c>
      <c r="J19" s="1"/>
      <c r="K19" s="35"/>
      <c r="L19" s="1"/>
    </row>
    <row r="20" spans="1:12" x14ac:dyDescent="0.25">
      <c r="A20" s="37" t="s">
        <v>23</v>
      </c>
      <c r="B20" s="32"/>
      <c r="C20" s="38"/>
      <c r="D20" s="34" t="s">
        <v>27</v>
      </c>
      <c r="E20" s="26">
        <v>45465</v>
      </c>
      <c r="F20" s="27">
        <v>45648</v>
      </c>
      <c r="G20" s="28">
        <f ca="1">DAYS360(TODAY(),F20)</f>
        <v>-133</v>
      </c>
      <c r="H20" s="2"/>
      <c r="I20" s="35"/>
      <c r="J20" s="1"/>
      <c r="K20" s="35"/>
      <c r="L20" s="1"/>
    </row>
    <row r="21" spans="1:12" x14ac:dyDescent="0.25">
      <c r="A21" s="11"/>
      <c r="B21" s="12"/>
      <c r="C21" s="11"/>
      <c r="D21" s="13"/>
      <c r="E21" s="14"/>
      <c r="F21" s="15"/>
      <c r="G21" s="16"/>
      <c r="H21" s="17"/>
      <c r="I21" s="18"/>
      <c r="J21" s="18"/>
      <c r="K21" s="18"/>
      <c r="L21" s="18"/>
    </row>
    <row r="22" spans="1:12" x14ac:dyDescent="0.25">
      <c r="A22" s="39" t="s">
        <v>28</v>
      </c>
      <c r="B22" s="2" t="s">
        <v>29</v>
      </c>
      <c r="C22" s="21" t="s">
        <v>11</v>
      </c>
      <c r="D22" s="36"/>
      <c r="E22" s="22">
        <v>45536</v>
      </c>
      <c r="F22" s="23">
        <v>45566</v>
      </c>
      <c r="G22" s="24">
        <f ca="1">DAYS360(TODAY(),F22)</f>
        <v>-214</v>
      </c>
      <c r="H22" s="31" t="s">
        <v>30</v>
      </c>
      <c r="I22" s="106" t="s">
        <v>31</v>
      </c>
      <c r="J22" s="1"/>
      <c r="K22" s="35"/>
      <c r="L22" s="1"/>
    </row>
    <row r="23" spans="1:12" x14ac:dyDescent="0.25">
      <c r="A23" s="39" t="s">
        <v>28</v>
      </c>
      <c r="B23" s="32"/>
      <c r="C23" s="40"/>
      <c r="D23" s="41"/>
      <c r="E23" s="42">
        <v>45413</v>
      </c>
      <c r="F23" s="43">
        <v>45444</v>
      </c>
      <c r="G23" s="44">
        <f ca="1">DAYS360(TODAY(),F23)</f>
        <v>-334</v>
      </c>
      <c r="H23" s="2"/>
      <c r="I23" s="35"/>
      <c r="J23" s="1"/>
      <c r="K23" s="35"/>
      <c r="L23" s="1"/>
    </row>
    <row r="24" spans="1:12" x14ac:dyDescent="0.25">
      <c r="A24" s="11"/>
      <c r="B24" s="12"/>
      <c r="C24" s="11"/>
      <c r="D24" s="13"/>
      <c r="E24" s="14"/>
      <c r="F24" s="15"/>
      <c r="G24" s="16"/>
      <c r="H24" s="17"/>
      <c r="I24" s="18"/>
      <c r="J24" s="18"/>
      <c r="K24" s="18"/>
      <c r="L24" s="18"/>
    </row>
    <row r="25" spans="1:12" x14ac:dyDescent="0.25">
      <c r="A25" s="45" t="s">
        <v>32</v>
      </c>
      <c r="B25" s="46" t="s">
        <v>33</v>
      </c>
      <c r="C25" s="30" t="s">
        <v>15</v>
      </c>
      <c r="D25" s="21"/>
      <c r="E25" s="22">
        <v>45658</v>
      </c>
      <c r="F25" s="23">
        <v>45689</v>
      </c>
      <c r="G25" s="24">
        <f ca="1">DAYS360(TODAY(),F25)</f>
        <v>-94</v>
      </c>
      <c r="H25" s="31" t="s">
        <v>34</v>
      </c>
      <c r="J25" s="1"/>
      <c r="K25" s="35"/>
      <c r="L25" s="1"/>
    </row>
    <row r="26" spans="1:12" x14ac:dyDescent="0.25">
      <c r="A26" s="45" t="s">
        <v>32</v>
      </c>
      <c r="B26" s="46"/>
      <c r="C26" s="40"/>
      <c r="D26" s="41" t="s">
        <v>35</v>
      </c>
      <c r="E26" s="42">
        <v>45643</v>
      </c>
      <c r="F26" s="43">
        <v>45825</v>
      </c>
      <c r="G26" s="44">
        <f ca="1">DAYS360(TODAY(),F26)</f>
        <v>42</v>
      </c>
      <c r="H26" s="20"/>
      <c r="I26" s="47"/>
      <c r="J26" s="1"/>
      <c r="K26" s="35"/>
      <c r="L26" s="1"/>
    </row>
    <row r="27" spans="1:12" x14ac:dyDescent="0.25">
      <c r="A27" s="11"/>
      <c r="B27" s="12"/>
      <c r="C27" s="11"/>
      <c r="D27" s="13"/>
      <c r="E27" s="14"/>
      <c r="F27" s="15"/>
      <c r="G27" s="16"/>
      <c r="H27" s="17"/>
      <c r="I27" s="18"/>
      <c r="J27" s="18"/>
      <c r="K27" s="18"/>
      <c r="L27" s="18"/>
    </row>
    <row r="28" spans="1:12" x14ac:dyDescent="0.25">
      <c r="A28" s="48" t="s">
        <v>36</v>
      </c>
      <c r="B28" s="2" t="s">
        <v>37</v>
      </c>
      <c r="C28" s="21" t="s">
        <v>11</v>
      </c>
      <c r="D28" s="36"/>
      <c r="E28" s="22">
        <v>45597</v>
      </c>
      <c r="F28" s="23">
        <v>45627</v>
      </c>
      <c r="G28" s="24">
        <f ca="1">DAYS360(TODAY(),F28)</f>
        <v>-154</v>
      </c>
      <c r="H28" s="31" t="s">
        <v>38</v>
      </c>
      <c r="I28" s="106" t="s">
        <v>39</v>
      </c>
      <c r="J28" s="1"/>
      <c r="K28" s="35"/>
      <c r="L28" s="1"/>
    </row>
    <row r="29" spans="1:12" x14ac:dyDescent="0.25">
      <c r="A29" s="48" t="s">
        <v>36</v>
      </c>
      <c r="B29" s="32"/>
      <c r="C29" s="49"/>
      <c r="D29" s="34" t="s">
        <v>22</v>
      </c>
      <c r="E29" s="26">
        <v>45542</v>
      </c>
      <c r="F29" s="27">
        <v>45633</v>
      </c>
      <c r="G29" s="28">
        <f ca="1">DAYS360(TODAY(),F29)</f>
        <v>-148</v>
      </c>
      <c r="H29" s="50"/>
      <c r="I29" s="35"/>
      <c r="J29" s="1"/>
      <c r="K29" s="35"/>
      <c r="L29" s="1"/>
    </row>
    <row r="30" spans="1:12" x14ac:dyDescent="0.25">
      <c r="A30" s="11"/>
      <c r="B30" s="12"/>
      <c r="C30" s="11"/>
      <c r="D30" s="13"/>
      <c r="E30" s="14"/>
      <c r="F30" s="15"/>
      <c r="G30" s="16"/>
      <c r="H30" s="17"/>
      <c r="I30" s="18"/>
      <c r="J30" s="18"/>
      <c r="K30" s="18"/>
      <c r="L30" s="18"/>
    </row>
    <row r="31" spans="1:12" x14ac:dyDescent="0.25">
      <c r="A31" s="45" t="s">
        <v>40</v>
      </c>
      <c r="B31" s="46" t="s">
        <v>41</v>
      </c>
      <c r="C31" s="21"/>
      <c r="D31" s="36"/>
      <c r="E31" s="22">
        <v>45413</v>
      </c>
      <c r="F31" s="23">
        <v>45444</v>
      </c>
      <c r="G31" s="24">
        <f ca="1">DAYS360(TODAY(),F31)</f>
        <v>-334</v>
      </c>
      <c r="H31" s="31" t="s">
        <v>42</v>
      </c>
      <c r="I31" s="106" t="s">
        <v>43</v>
      </c>
      <c r="J31" s="1"/>
      <c r="K31" s="35"/>
      <c r="L31" s="1"/>
    </row>
    <row r="32" spans="1:12" x14ac:dyDescent="0.25">
      <c r="A32" s="45" t="s">
        <v>40</v>
      </c>
      <c r="B32" s="46"/>
      <c r="C32" s="38"/>
      <c r="D32" s="51"/>
      <c r="E32" s="42">
        <v>45429</v>
      </c>
      <c r="F32" s="43">
        <v>45794</v>
      </c>
      <c r="G32" s="44">
        <f ca="1">DAYS360(TODAY(),F32)</f>
        <v>12</v>
      </c>
      <c r="H32" s="20"/>
      <c r="I32" s="35"/>
      <c r="J32" s="1"/>
      <c r="K32" s="35"/>
      <c r="L32" s="1"/>
    </row>
    <row r="33" spans="1:12" x14ac:dyDescent="0.25">
      <c r="A33" s="11"/>
      <c r="B33" s="12"/>
      <c r="C33" s="11"/>
      <c r="D33" s="13"/>
      <c r="E33" s="14"/>
      <c r="F33" s="15"/>
      <c r="G33" s="16"/>
      <c r="H33" s="17"/>
      <c r="I33" s="18"/>
      <c r="J33" s="18"/>
      <c r="K33" s="18"/>
      <c r="L33" s="18"/>
    </row>
    <row r="34" spans="1:12" x14ac:dyDescent="0.25">
      <c r="A34" s="29" t="s">
        <v>44</v>
      </c>
      <c r="B34" s="20" t="s">
        <v>45</v>
      </c>
      <c r="C34" s="21"/>
      <c r="D34" s="36"/>
      <c r="E34" s="22">
        <v>45413</v>
      </c>
      <c r="F34" s="23">
        <v>45444</v>
      </c>
      <c r="G34" s="24">
        <f ca="1">DAYS360(TODAY(),F34)</f>
        <v>-334</v>
      </c>
      <c r="H34" s="31" t="s">
        <v>46</v>
      </c>
      <c r="I34" s="106" t="s">
        <v>47</v>
      </c>
      <c r="J34" s="1"/>
      <c r="K34" s="35"/>
      <c r="L34" s="1"/>
    </row>
    <row r="35" spans="1:12" x14ac:dyDescent="0.25">
      <c r="A35" s="29" t="s">
        <v>44</v>
      </c>
      <c r="B35" s="32"/>
      <c r="C35" s="38"/>
      <c r="D35" s="51" t="s">
        <v>48</v>
      </c>
      <c r="E35" s="42">
        <v>45429</v>
      </c>
      <c r="F35" s="43">
        <v>45794</v>
      </c>
      <c r="G35" s="44">
        <f ca="1">DAYS360(TODAY(),F35)</f>
        <v>12</v>
      </c>
      <c r="H35" s="2"/>
      <c r="I35" s="35"/>
      <c r="J35" s="1"/>
      <c r="K35" s="35"/>
      <c r="L35" s="1"/>
    </row>
    <row r="36" spans="1:12" x14ac:dyDescent="0.25">
      <c r="A36" s="52"/>
      <c r="B36" s="12"/>
      <c r="C36" s="52"/>
      <c r="D36" s="13"/>
      <c r="E36" s="14"/>
      <c r="F36" s="15"/>
      <c r="G36" s="16"/>
      <c r="H36" s="17"/>
      <c r="I36" s="18"/>
      <c r="J36" s="18"/>
      <c r="K36" s="18"/>
      <c r="L36" s="18"/>
    </row>
    <row r="37" spans="1:12" x14ac:dyDescent="0.25">
      <c r="A37" s="53" t="s">
        <v>49</v>
      </c>
      <c r="B37" s="2" t="s">
        <v>50</v>
      </c>
      <c r="C37" s="21" t="s">
        <v>11</v>
      </c>
      <c r="D37" s="36"/>
      <c r="E37" s="22">
        <v>45566</v>
      </c>
      <c r="F37" s="23">
        <v>45597</v>
      </c>
      <c r="G37" s="24">
        <f ca="1">DAYS360(TODAY(),F37)</f>
        <v>-184</v>
      </c>
      <c r="H37" s="31" t="s">
        <v>51</v>
      </c>
      <c r="I37" s="106" t="s">
        <v>52</v>
      </c>
      <c r="J37" s="1"/>
      <c r="K37" s="35"/>
      <c r="L37" s="1"/>
    </row>
    <row r="38" spans="1:12" x14ac:dyDescent="0.25">
      <c r="A38" s="53" t="s">
        <v>49</v>
      </c>
      <c r="B38" s="32"/>
      <c r="C38" s="54"/>
      <c r="D38" s="41"/>
      <c r="E38" s="42">
        <v>45413</v>
      </c>
      <c r="F38" s="43">
        <v>45444</v>
      </c>
      <c r="G38" s="44">
        <f ca="1">DAYS360(TODAY(),F38)</f>
        <v>-334</v>
      </c>
      <c r="H38" s="2"/>
      <c r="I38" s="35"/>
      <c r="J38" s="1"/>
      <c r="K38" s="35"/>
      <c r="L38" s="1"/>
    </row>
    <row r="39" spans="1:12" x14ac:dyDescent="0.25">
      <c r="A39" s="52"/>
      <c r="B39" s="12"/>
      <c r="C39" s="52"/>
      <c r="D39" s="13"/>
      <c r="E39" s="14"/>
      <c r="F39" s="15"/>
      <c r="G39" s="16"/>
      <c r="H39" s="17"/>
      <c r="I39" s="18"/>
      <c r="J39" s="18"/>
      <c r="K39" s="18"/>
      <c r="L39" s="18"/>
    </row>
    <row r="40" spans="1:12" x14ac:dyDescent="0.25">
      <c r="A40" s="55" t="s">
        <v>53</v>
      </c>
      <c r="B40" s="20" t="s">
        <v>54</v>
      </c>
      <c r="C40" s="30" t="s">
        <v>15</v>
      </c>
      <c r="D40" s="36"/>
      <c r="E40" s="22">
        <v>45536</v>
      </c>
      <c r="F40" s="23">
        <v>45566</v>
      </c>
      <c r="G40" s="24">
        <f ca="1">DAYS360(TODAY(),F40)</f>
        <v>-214</v>
      </c>
      <c r="H40" s="31" t="s">
        <v>55</v>
      </c>
      <c r="I40" s="106" t="s">
        <v>56</v>
      </c>
      <c r="J40" s="1"/>
      <c r="K40" s="35"/>
      <c r="L40" s="1"/>
    </row>
    <row r="41" spans="1:12" x14ac:dyDescent="0.25">
      <c r="A41" s="55" t="s">
        <v>53</v>
      </c>
      <c r="B41" s="32"/>
      <c r="C41" s="54"/>
      <c r="D41" s="56" t="s">
        <v>57</v>
      </c>
      <c r="E41" s="42">
        <v>45444</v>
      </c>
      <c r="F41" s="43">
        <v>45627</v>
      </c>
      <c r="G41" s="44">
        <f ca="1">DAYS360(TODAY(),F41)</f>
        <v>-154</v>
      </c>
      <c r="H41" s="2"/>
      <c r="I41" s="35"/>
      <c r="J41" s="1"/>
      <c r="K41" s="35"/>
      <c r="L41" s="1"/>
    </row>
    <row r="42" spans="1:12" x14ac:dyDescent="0.25">
      <c r="A42" s="52"/>
      <c r="B42" s="12"/>
      <c r="C42" s="52"/>
      <c r="D42" s="13"/>
      <c r="E42" s="14"/>
      <c r="F42" s="15"/>
      <c r="G42" s="16"/>
      <c r="H42" s="17"/>
      <c r="I42" s="18"/>
      <c r="J42" s="18"/>
      <c r="K42" s="18"/>
      <c r="L42" s="18"/>
    </row>
    <row r="43" spans="1:12" x14ac:dyDescent="0.25">
      <c r="A43" s="39" t="s">
        <v>58</v>
      </c>
      <c r="B43" s="46" t="s">
        <v>59</v>
      </c>
      <c r="C43" s="21" t="s">
        <v>11</v>
      </c>
      <c r="D43" s="36"/>
      <c r="E43" s="22">
        <v>45597</v>
      </c>
      <c r="F43" s="23">
        <v>45627</v>
      </c>
      <c r="G43" s="24">
        <f ca="1">DAYS360(TODAY(),F43)</f>
        <v>-154</v>
      </c>
      <c r="H43" s="31" t="s">
        <v>60</v>
      </c>
      <c r="I43" s="106" t="s">
        <v>61</v>
      </c>
      <c r="J43" s="1"/>
      <c r="K43" s="35"/>
      <c r="L43" s="1"/>
    </row>
    <row r="44" spans="1:12" x14ac:dyDescent="0.25">
      <c r="A44" s="39" t="s">
        <v>58</v>
      </c>
      <c r="B44" s="46"/>
      <c r="C44" s="33"/>
      <c r="D44" s="56" t="s">
        <v>48</v>
      </c>
      <c r="E44" s="42">
        <v>45585</v>
      </c>
      <c r="F44" s="43">
        <v>45616</v>
      </c>
      <c r="G44" s="44">
        <f ca="1">DAYS360(TODAY(),F44)</f>
        <v>-165</v>
      </c>
      <c r="H44" s="31" t="s">
        <v>62</v>
      </c>
      <c r="I44" s="35"/>
      <c r="J44" s="1"/>
      <c r="K44" s="35"/>
      <c r="L44" s="1"/>
    </row>
    <row r="45" spans="1:12" x14ac:dyDescent="0.25">
      <c r="A45" s="52"/>
      <c r="B45" s="12"/>
      <c r="C45" s="52"/>
      <c r="D45" s="13"/>
      <c r="E45" s="14"/>
      <c r="F45" s="15"/>
      <c r="G45" s="16"/>
      <c r="H45" s="17"/>
      <c r="I45" s="18"/>
      <c r="J45" s="18"/>
      <c r="K45" s="18"/>
      <c r="L45" s="18"/>
    </row>
    <row r="46" spans="1:12" x14ac:dyDescent="0.25">
      <c r="A46" s="57" t="s">
        <v>63</v>
      </c>
      <c r="B46" s="20" t="s">
        <v>64</v>
      </c>
      <c r="C46" s="21"/>
      <c r="D46" s="36"/>
      <c r="E46" s="22">
        <v>45413</v>
      </c>
      <c r="F46" s="23">
        <v>45444</v>
      </c>
      <c r="G46" s="24">
        <f ca="1">DAYS360(TODAY(),F46)</f>
        <v>-334</v>
      </c>
      <c r="H46" s="31" t="s">
        <v>65</v>
      </c>
      <c r="I46" s="106" t="s">
        <v>66</v>
      </c>
      <c r="J46" s="1"/>
      <c r="K46" s="35"/>
      <c r="L46" s="1"/>
    </row>
    <row r="47" spans="1:12" x14ac:dyDescent="0.25">
      <c r="A47" s="57" t="s">
        <v>63</v>
      </c>
      <c r="B47" s="2"/>
      <c r="C47" s="33"/>
      <c r="D47" s="34"/>
      <c r="E47" s="42">
        <v>45413</v>
      </c>
      <c r="F47" s="43">
        <v>45444</v>
      </c>
      <c r="G47" s="44">
        <f ca="1">DAYS360(TODAY(),F47)</f>
        <v>-334</v>
      </c>
      <c r="H47" s="2"/>
      <c r="I47" s="35"/>
      <c r="J47" s="1"/>
      <c r="K47" s="35"/>
      <c r="L47" s="1"/>
    </row>
    <row r="48" spans="1:12" x14ac:dyDescent="0.25">
      <c r="A48" s="52"/>
      <c r="B48" s="12"/>
      <c r="C48" s="52"/>
      <c r="D48" s="13"/>
      <c r="E48" s="14"/>
      <c r="F48" s="15"/>
      <c r="G48" s="16"/>
      <c r="H48" s="17"/>
      <c r="I48" s="18"/>
      <c r="J48" s="18"/>
      <c r="K48" s="18"/>
      <c r="L48" s="18"/>
    </row>
    <row r="49" spans="1:12" x14ac:dyDescent="0.25">
      <c r="A49" s="57" t="s">
        <v>67</v>
      </c>
      <c r="B49" s="2" t="s">
        <v>68</v>
      </c>
      <c r="C49" s="21"/>
      <c r="D49" s="36"/>
      <c r="E49" s="22">
        <v>45413</v>
      </c>
      <c r="F49" s="23">
        <v>45444</v>
      </c>
      <c r="G49" s="24">
        <f ca="1">DAYS360(TODAY(),F49)</f>
        <v>-334</v>
      </c>
      <c r="H49" s="31" t="s">
        <v>69</v>
      </c>
      <c r="I49" s="106" t="s">
        <v>70</v>
      </c>
      <c r="J49" s="1"/>
      <c r="K49" s="35"/>
      <c r="L49" s="1"/>
    </row>
    <row r="50" spans="1:12" x14ac:dyDescent="0.25">
      <c r="A50" s="57" t="s">
        <v>67</v>
      </c>
      <c r="B50" s="2"/>
      <c r="C50" s="33"/>
      <c r="D50" s="34"/>
      <c r="E50" s="42">
        <v>45413</v>
      </c>
      <c r="F50" s="43">
        <v>45444</v>
      </c>
      <c r="G50" s="44">
        <f ca="1">DAYS360(TODAY(),F50)</f>
        <v>-334</v>
      </c>
      <c r="H50" s="2"/>
      <c r="I50" s="35"/>
      <c r="J50" s="1"/>
      <c r="K50" s="35"/>
      <c r="L50" s="1"/>
    </row>
    <row r="51" spans="1:12" x14ac:dyDescent="0.25">
      <c r="A51" s="52"/>
      <c r="B51" s="12"/>
      <c r="C51" s="52"/>
      <c r="D51" s="13"/>
      <c r="E51" s="14"/>
      <c r="F51" s="15"/>
      <c r="G51" s="16"/>
      <c r="H51" s="17"/>
      <c r="I51" s="18"/>
      <c r="J51" s="18"/>
      <c r="K51" s="18"/>
      <c r="L51" s="18"/>
    </row>
    <row r="52" spans="1:12" x14ac:dyDescent="0.25">
      <c r="A52" s="57" t="s">
        <v>71</v>
      </c>
      <c r="B52" s="2" t="s">
        <v>72</v>
      </c>
      <c r="C52" s="21"/>
      <c r="D52" s="36"/>
      <c r="E52" s="22">
        <v>45413</v>
      </c>
      <c r="F52" s="23">
        <v>45444</v>
      </c>
      <c r="G52" s="24">
        <f ca="1">DAYS360(TODAY(),F52)</f>
        <v>-334</v>
      </c>
      <c r="H52" s="2"/>
      <c r="I52" s="106" t="s">
        <v>73</v>
      </c>
      <c r="J52" s="1"/>
      <c r="K52" s="35"/>
      <c r="L52" s="1"/>
    </row>
    <row r="53" spans="1:12" x14ac:dyDescent="0.25">
      <c r="A53" s="57" t="s">
        <v>71</v>
      </c>
      <c r="B53" s="2"/>
      <c r="C53" s="33"/>
      <c r="D53" s="34"/>
      <c r="E53" s="42">
        <v>45413</v>
      </c>
      <c r="F53" s="43">
        <v>45444</v>
      </c>
      <c r="G53" s="44">
        <f ca="1">DAYS360(TODAY(),F53)</f>
        <v>-334</v>
      </c>
      <c r="H53" s="2"/>
      <c r="I53" s="35"/>
      <c r="J53" s="1"/>
      <c r="K53" s="35"/>
      <c r="L53" s="1"/>
    </row>
    <row r="54" spans="1:12" x14ac:dyDescent="0.25">
      <c r="A54" s="58"/>
      <c r="B54" s="12"/>
      <c r="C54" s="58"/>
      <c r="D54" s="13"/>
      <c r="E54" s="14"/>
      <c r="F54" s="15"/>
      <c r="G54" s="16"/>
      <c r="H54" s="17"/>
      <c r="I54" s="18"/>
      <c r="J54" s="18"/>
      <c r="K54" s="18"/>
      <c r="L54" s="18"/>
    </row>
    <row r="55" spans="1:12" x14ac:dyDescent="0.25">
      <c r="A55" s="57" t="s">
        <v>74</v>
      </c>
      <c r="B55" s="20" t="s">
        <v>75</v>
      </c>
      <c r="C55" s="21"/>
      <c r="D55" s="36"/>
      <c r="E55" s="22">
        <v>45413</v>
      </c>
      <c r="F55" s="23">
        <v>45444</v>
      </c>
      <c r="G55" s="24">
        <f ca="1">DAYS360(TODAY(),F55)</f>
        <v>-334</v>
      </c>
      <c r="H55" s="2"/>
      <c r="I55" s="106" t="s">
        <v>76</v>
      </c>
      <c r="J55" s="1"/>
      <c r="K55" s="35"/>
      <c r="L55" s="1"/>
    </row>
    <row r="56" spans="1:12" x14ac:dyDescent="0.25">
      <c r="A56" s="57" t="s">
        <v>74</v>
      </c>
      <c r="B56" s="2"/>
      <c r="C56" s="33"/>
      <c r="D56" s="34"/>
      <c r="E56" s="42">
        <v>45413</v>
      </c>
      <c r="F56" s="43">
        <v>45444</v>
      </c>
      <c r="G56" s="44">
        <f ca="1">DAYS360(TODAY(),F56)</f>
        <v>-334</v>
      </c>
      <c r="H56" s="2"/>
      <c r="I56" s="35"/>
      <c r="J56" s="1"/>
      <c r="K56" s="35"/>
      <c r="L56" s="1"/>
    </row>
    <row r="57" spans="1:12" x14ac:dyDescent="0.25">
      <c r="A57" s="58"/>
      <c r="B57" s="12"/>
      <c r="C57" s="58"/>
      <c r="D57" s="13"/>
      <c r="E57" s="14"/>
      <c r="F57" s="15"/>
      <c r="G57" s="16"/>
      <c r="H57" s="17"/>
      <c r="I57" s="18"/>
      <c r="J57" s="18"/>
      <c r="K57" s="18"/>
      <c r="L57" s="18"/>
    </row>
    <row r="58" spans="1:12" x14ac:dyDescent="0.25">
      <c r="A58" s="57" t="s">
        <v>77</v>
      </c>
      <c r="B58" s="20" t="s">
        <v>78</v>
      </c>
      <c r="C58" s="21" t="s">
        <v>11</v>
      </c>
      <c r="D58" s="36"/>
      <c r="E58" s="22">
        <v>45597</v>
      </c>
      <c r="F58" s="23">
        <v>45627</v>
      </c>
      <c r="G58" s="24">
        <f ca="1">DAYS360(TODAY(),F58)</f>
        <v>-154</v>
      </c>
      <c r="H58" s="31" t="s">
        <v>79</v>
      </c>
      <c r="I58" s="106" t="s">
        <v>80</v>
      </c>
      <c r="J58" s="1"/>
      <c r="K58" s="35"/>
      <c r="L58" s="1"/>
    </row>
    <row r="59" spans="1:12" x14ac:dyDescent="0.25">
      <c r="A59" s="57" t="s">
        <v>77</v>
      </c>
      <c r="B59" s="2"/>
      <c r="C59" s="49"/>
      <c r="D59" s="56" t="s">
        <v>81</v>
      </c>
      <c r="E59" s="26">
        <v>45272</v>
      </c>
      <c r="F59" s="27">
        <v>45638</v>
      </c>
      <c r="G59" s="28">
        <f ca="1">DAYS360(TODAY(),F59)</f>
        <v>-143</v>
      </c>
      <c r="H59" s="31" t="s">
        <v>82</v>
      </c>
      <c r="I59" s="35"/>
      <c r="J59" s="1"/>
      <c r="K59" s="35"/>
      <c r="L59" s="1"/>
    </row>
    <row r="60" spans="1:12" x14ac:dyDescent="0.25">
      <c r="A60" s="59"/>
      <c r="B60" s="60"/>
      <c r="C60" s="59"/>
      <c r="D60" s="61"/>
      <c r="E60" s="62"/>
      <c r="F60" s="63"/>
      <c r="G60" s="64"/>
      <c r="H60" s="65"/>
      <c r="I60" s="18"/>
      <c r="J60" s="18"/>
      <c r="K60" s="18"/>
      <c r="L60" s="18"/>
    </row>
    <row r="61" spans="1:12" x14ac:dyDescent="0.25">
      <c r="A61" s="57" t="s">
        <v>83</v>
      </c>
      <c r="B61" s="2" t="s">
        <v>84</v>
      </c>
      <c r="C61" s="30" t="s">
        <v>15</v>
      </c>
      <c r="D61" s="36"/>
      <c r="E61" s="22">
        <v>45536</v>
      </c>
      <c r="F61" s="23">
        <v>45566</v>
      </c>
      <c r="G61" s="24">
        <f ca="1">DAYS360(TODAY(),F61)</f>
        <v>-214</v>
      </c>
      <c r="H61" s="2"/>
      <c r="I61" s="106" t="s">
        <v>56</v>
      </c>
      <c r="J61" s="1"/>
      <c r="K61" s="35"/>
      <c r="L61" s="1"/>
    </row>
    <row r="62" spans="1:12" x14ac:dyDescent="0.25">
      <c r="A62" s="57" t="s">
        <v>83</v>
      </c>
      <c r="B62" s="2"/>
      <c r="C62" s="33"/>
      <c r="D62" s="56" t="s">
        <v>57</v>
      </c>
      <c r="E62" s="42">
        <v>45481</v>
      </c>
      <c r="F62" s="43">
        <v>45665</v>
      </c>
      <c r="G62" s="44">
        <f ca="1">DAYS360(TODAY(),F62)</f>
        <v>-117</v>
      </c>
      <c r="H62" s="2"/>
      <c r="I62" s="35"/>
      <c r="J62" s="1"/>
      <c r="K62" s="35"/>
      <c r="L62" s="1"/>
    </row>
    <row r="63" spans="1:12" x14ac:dyDescent="0.25">
      <c r="A63" s="66"/>
      <c r="B63" s="65"/>
      <c r="C63" s="66"/>
      <c r="D63" s="67"/>
      <c r="E63" s="62"/>
      <c r="F63" s="63"/>
      <c r="G63" s="64"/>
      <c r="H63" s="65"/>
      <c r="I63" s="18"/>
      <c r="J63" s="18"/>
      <c r="K63" s="18"/>
      <c r="L63" s="18"/>
    </row>
    <row r="64" spans="1:12" x14ac:dyDescent="0.25">
      <c r="A64" s="57" t="s">
        <v>85</v>
      </c>
      <c r="B64" s="2" t="s">
        <v>86</v>
      </c>
      <c r="C64" s="21" t="s">
        <v>11</v>
      </c>
      <c r="D64" s="36"/>
      <c r="E64" s="22">
        <v>45597</v>
      </c>
      <c r="F64" s="23">
        <v>45630</v>
      </c>
      <c r="G64" s="24">
        <f ca="1">DAYS360(TODAY(),F64)</f>
        <v>-151</v>
      </c>
      <c r="H64" s="31" t="s">
        <v>87</v>
      </c>
      <c r="I64" s="106" t="s">
        <v>88</v>
      </c>
      <c r="J64" s="1"/>
      <c r="K64" s="35"/>
      <c r="L64" s="1"/>
    </row>
    <row r="65" spans="1:12" x14ac:dyDescent="0.25">
      <c r="A65" s="57" t="s">
        <v>85</v>
      </c>
      <c r="B65" s="2"/>
      <c r="C65" s="33"/>
      <c r="D65" s="56" t="s">
        <v>48</v>
      </c>
      <c r="E65" s="42" t="s">
        <v>89</v>
      </c>
      <c r="F65" s="43">
        <v>45650</v>
      </c>
      <c r="G65" s="44">
        <f ca="1">DAYS360(TODAY(),F65)</f>
        <v>-131</v>
      </c>
      <c r="H65" s="31" t="s">
        <v>90</v>
      </c>
      <c r="I65" s="35"/>
      <c r="J65" s="1"/>
      <c r="K65" s="35"/>
      <c r="L65" s="1"/>
    </row>
    <row r="66" spans="1:12" x14ac:dyDescent="0.25">
      <c r="A66" s="66"/>
      <c r="B66" s="65"/>
      <c r="C66" s="66"/>
      <c r="D66" s="67"/>
      <c r="E66" s="62"/>
      <c r="F66" s="63"/>
      <c r="G66" s="64"/>
      <c r="H66" s="65"/>
      <c r="I66" s="18"/>
      <c r="J66" s="18"/>
      <c r="K66" s="18"/>
      <c r="L66" s="18"/>
    </row>
    <row r="67" spans="1:12" x14ac:dyDescent="0.25">
      <c r="A67" s="68" t="s">
        <v>91</v>
      </c>
      <c r="B67" s="2" t="s">
        <v>92</v>
      </c>
      <c r="C67" s="21" t="s">
        <v>11</v>
      </c>
      <c r="D67" s="36"/>
      <c r="E67" s="22">
        <v>45597</v>
      </c>
      <c r="F67" s="23">
        <v>45627</v>
      </c>
      <c r="G67" s="24">
        <f ca="1">DAYS360(TODAY(),F67)</f>
        <v>-154</v>
      </c>
      <c r="H67" s="31" t="s">
        <v>93</v>
      </c>
      <c r="I67" s="106" t="s">
        <v>94</v>
      </c>
      <c r="J67" s="1"/>
      <c r="K67" s="35"/>
      <c r="L67" s="1"/>
    </row>
    <row r="68" spans="1:12" x14ac:dyDescent="0.25">
      <c r="A68" s="68" t="s">
        <v>91</v>
      </c>
      <c r="B68" s="2"/>
      <c r="C68" s="33"/>
      <c r="D68" s="34"/>
      <c r="E68" s="26">
        <v>45459</v>
      </c>
      <c r="F68" s="27">
        <v>45642</v>
      </c>
      <c r="G68" s="28">
        <f ca="1">DAYS360(TODAY(),F68)</f>
        <v>-139</v>
      </c>
      <c r="H68" s="2"/>
      <c r="I68" s="35"/>
      <c r="J68" s="1"/>
      <c r="K68" s="35"/>
      <c r="L68" s="1"/>
    </row>
    <row r="69" spans="1:12" x14ac:dyDescent="0.25">
      <c r="A69" s="66"/>
      <c r="B69" s="65"/>
      <c r="C69" s="66"/>
      <c r="D69" s="67"/>
      <c r="E69" s="62"/>
      <c r="F69" s="63"/>
      <c r="G69" s="64"/>
      <c r="H69" s="65"/>
      <c r="I69" s="18"/>
      <c r="J69" s="18"/>
      <c r="K69" s="18"/>
      <c r="L69" s="18"/>
    </row>
    <row r="70" spans="1:12" x14ac:dyDescent="0.25">
      <c r="A70" s="68" t="s">
        <v>95</v>
      </c>
      <c r="B70" s="2" t="s">
        <v>96</v>
      </c>
      <c r="C70" s="21" t="s">
        <v>11</v>
      </c>
      <c r="D70" s="36"/>
      <c r="E70" s="22">
        <v>45536</v>
      </c>
      <c r="F70" s="23">
        <v>45566</v>
      </c>
      <c r="G70" s="24">
        <f ca="1">DAYS360(TODAY(),F70)</f>
        <v>-214</v>
      </c>
      <c r="H70" s="31" t="s">
        <v>97</v>
      </c>
      <c r="I70" s="106" t="s">
        <v>98</v>
      </c>
      <c r="J70" s="1"/>
      <c r="K70" s="35"/>
      <c r="L70" s="1"/>
    </row>
    <row r="71" spans="1:12" x14ac:dyDescent="0.25">
      <c r="A71" s="68" t="s">
        <v>95</v>
      </c>
      <c r="B71" s="2"/>
      <c r="C71" s="69"/>
      <c r="D71" s="56" t="s">
        <v>81</v>
      </c>
      <c r="E71" s="26">
        <v>45406</v>
      </c>
      <c r="F71" s="27">
        <v>45771</v>
      </c>
      <c r="G71" s="28">
        <f ca="1">DAYS360(TODAY(),F71)</f>
        <v>-11</v>
      </c>
      <c r="H71" s="2"/>
      <c r="I71" s="35"/>
      <c r="J71" s="1"/>
      <c r="K71" s="35"/>
      <c r="L71" s="1"/>
    </row>
    <row r="72" spans="1:12" x14ac:dyDescent="0.25">
      <c r="A72" s="66"/>
      <c r="B72" s="65"/>
      <c r="C72" s="66"/>
      <c r="D72" s="67"/>
      <c r="E72" s="62"/>
      <c r="F72" s="63"/>
      <c r="G72" s="64"/>
      <c r="H72" s="65"/>
      <c r="I72" s="18"/>
      <c r="J72" s="18"/>
      <c r="K72" s="18"/>
      <c r="L72" s="18"/>
    </row>
    <row r="73" spans="1:12" x14ac:dyDescent="0.25">
      <c r="A73" s="68" t="s">
        <v>99</v>
      </c>
      <c r="B73" s="2" t="s">
        <v>100</v>
      </c>
      <c r="C73" s="21" t="s">
        <v>101</v>
      </c>
      <c r="D73" s="36"/>
      <c r="E73" s="22">
        <v>45597</v>
      </c>
      <c r="F73" s="23">
        <v>45627</v>
      </c>
      <c r="G73" s="24">
        <f ca="1">DAYS360(TODAY(),F73)</f>
        <v>-154</v>
      </c>
      <c r="H73" s="2"/>
      <c r="I73" s="35"/>
      <c r="J73" s="1"/>
      <c r="K73" s="35"/>
      <c r="L73" s="1"/>
    </row>
    <row r="74" spans="1:12" x14ac:dyDescent="0.25">
      <c r="A74" s="68" t="s">
        <v>99</v>
      </c>
      <c r="B74" s="2"/>
      <c r="C74" s="69"/>
      <c r="D74" s="56" t="s">
        <v>81</v>
      </c>
      <c r="E74" s="26">
        <v>45406</v>
      </c>
      <c r="F74" s="27">
        <v>45771</v>
      </c>
      <c r="G74" s="28">
        <f ca="1">DAYS360(TODAY(),F74)</f>
        <v>-11</v>
      </c>
      <c r="H74" s="2"/>
      <c r="I74" s="35"/>
      <c r="J74" s="1"/>
      <c r="K74" s="35"/>
      <c r="L74" s="1"/>
    </row>
    <row r="75" spans="1:12" x14ac:dyDescent="0.25">
      <c r="A75" s="66"/>
      <c r="B75" s="65"/>
      <c r="C75" s="66"/>
      <c r="D75" s="67"/>
      <c r="E75" s="62"/>
      <c r="F75" s="63"/>
      <c r="G75" s="64"/>
      <c r="H75" s="65"/>
      <c r="I75" s="18"/>
      <c r="J75" s="18"/>
      <c r="K75" s="18"/>
      <c r="L75" s="18"/>
    </row>
    <row r="76" spans="1:12" x14ac:dyDescent="0.25">
      <c r="A76" s="70" t="s">
        <v>102</v>
      </c>
      <c r="B76" s="9"/>
      <c r="C76" s="71"/>
      <c r="D76" s="72"/>
      <c r="E76" s="73"/>
      <c r="F76" s="74"/>
      <c r="G76" s="75"/>
      <c r="H76" s="9"/>
      <c r="I76" s="47"/>
      <c r="J76" s="1"/>
      <c r="K76" s="35"/>
      <c r="L76" s="1"/>
    </row>
    <row r="77" spans="1:12" x14ac:dyDescent="0.25">
      <c r="A77" s="48" t="s">
        <v>103</v>
      </c>
      <c r="B77" s="20" t="s">
        <v>104</v>
      </c>
      <c r="C77" s="21"/>
      <c r="D77" s="36"/>
      <c r="E77" s="22">
        <v>45445</v>
      </c>
      <c r="F77" s="22">
        <v>45809</v>
      </c>
      <c r="G77" s="24">
        <f t="shared" ref="G77" ca="1" si="0">DAYS360(TODAY(),F77)</f>
        <v>26</v>
      </c>
      <c r="H77" s="31" t="s">
        <v>105</v>
      </c>
      <c r="I77" s="106" t="s">
        <v>106</v>
      </c>
      <c r="J77" s="1"/>
      <c r="K77" s="35"/>
      <c r="L77" s="1"/>
    </row>
    <row r="78" spans="1:12" x14ac:dyDescent="0.25">
      <c r="A78" s="48" t="s">
        <v>103</v>
      </c>
      <c r="B78" s="2"/>
      <c r="C78" s="33"/>
      <c r="D78" s="34"/>
      <c r="E78" s="42">
        <v>45413</v>
      </c>
      <c r="F78" s="43">
        <v>45444</v>
      </c>
      <c r="G78" s="44">
        <f ca="1">DAYS360(TODAY(),F78)</f>
        <v>-334</v>
      </c>
      <c r="H78" s="31" t="s">
        <v>107</v>
      </c>
      <c r="I78" s="35"/>
      <c r="J78" s="1"/>
      <c r="K78" s="35"/>
      <c r="L78" s="1"/>
    </row>
    <row r="79" spans="1:12" x14ac:dyDescent="0.25">
      <c r="A79" s="66"/>
      <c r="B79" s="65"/>
      <c r="C79" s="66"/>
      <c r="D79" s="67"/>
      <c r="E79" s="62"/>
      <c r="F79" s="63"/>
      <c r="G79" s="64"/>
      <c r="H79" s="65"/>
      <c r="I79" s="18"/>
      <c r="J79" s="18"/>
      <c r="K79" s="18"/>
      <c r="L79" s="18"/>
    </row>
    <row r="80" spans="1:12" x14ac:dyDescent="0.25">
      <c r="A80" s="37" t="s">
        <v>108</v>
      </c>
      <c r="B80" s="32" t="s">
        <v>109</v>
      </c>
      <c r="C80" s="30" t="s">
        <v>110</v>
      </c>
      <c r="D80" s="76"/>
      <c r="E80" s="22">
        <v>45566</v>
      </c>
      <c r="F80" s="23">
        <v>45597</v>
      </c>
      <c r="G80" s="24">
        <f ca="1">DAYS360(TODAY(),F80)</f>
        <v>-184</v>
      </c>
      <c r="H80" s="31" t="s">
        <v>111</v>
      </c>
      <c r="I80" s="106" t="s">
        <v>112</v>
      </c>
      <c r="J80" s="1"/>
      <c r="K80" s="35"/>
      <c r="L80" s="1"/>
    </row>
    <row r="81" spans="1:12" x14ac:dyDescent="0.25">
      <c r="A81" s="37" t="s">
        <v>108</v>
      </c>
      <c r="B81" s="32"/>
      <c r="C81" s="38"/>
      <c r="D81" s="41" t="s">
        <v>113</v>
      </c>
      <c r="E81" s="42">
        <v>45534</v>
      </c>
      <c r="F81" s="43">
        <v>45626</v>
      </c>
      <c r="G81" s="44">
        <f ca="1">DAYS360(TODAY(),F81)</f>
        <v>-155</v>
      </c>
      <c r="H81" s="31" t="s">
        <v>114</v>
      </c>
      <c r="I81" s="35"/>
      <c r="J81" s="1"/>
      <c r="K81" s="35"/>
      <c r="L81" s="1"/>
    </row>
    <row r="82" spans="1:12" x14ac:dyDescent="0.25">
      <c r="A82" s="66"/>
      <c r="B82" s="65"/>
      <c r="C82" s="66"/>
      <c r="D82" s="67"/>
      <c r="E82" s="62"/>
      <c r="F82" s="63"/>
      <c r="G82" s="64"/>
      <c r="H82" s="65"/>
      <c r="I82" s="18"/>
      <c r="J82" s="18"/>
      <c r="K82" s="18"/>
      <c r="L82" s="18"/>
    </row>
    <row r="83" spans="1:12" x14ac:dyDescent="0.25">
      <c r="A83" s="48" t="s">
        <v>115</v>
      </c>
      <c r="B83" s="20" t="s">
        <v>116</v>
      </c>
      <c r="C83" s="21" t="s">
        <v>11</v>
      </c>
      <c r="D83" s="36"/>
      <c r="E83" s="22">
        <v>45536</v>
      </c>
      <c r="F83" s="23">
        <v>45566</v>
      </c>
      <c r="G83" s="24">
        <f ca="1">DAYS360(TODAY(),F83)</f>
        <v>-214</v>
      </c>
      <c r="H83" s="31" t="s">
        <v>117</v>
      </c>
      <c r="I83" s="106" t="s">
        <v>118</v>
      </c>
      <c r="J83" s="1"/>
      <c r="K83" s="35"/>
      <c r="L83" s="1"/>
    </row>
    <row r="84" spans="1:12" x14ac:dyDescent="0.25">
      <c r="A84" s="48" t="s">
        <v>115</v>
      </c>
      <c r="B84" s="2"/>
      <c r="C84" s="40"/>
      <c r="D84" s="51" t="s">
        <v>119</v>
      </c>
      <c r="E84" s="42">
        <v>45164</v>
      </c>
      <c r="F84" s="43">
        <v>45732</v>
      </c>
      <c r="G84" s="44">
        <f ca="1">DAYS360(TODAY(),F84)</f>
        <v>-49</v>
      </c>
      <c r="H84" s="31" t="s">
        <v>79</v>
      </c>
      <c r="I84" s="35"/>
      <c r="J84" s="1"/>
      <c r="K84" s="35"/>
      <c r="L84" s="1"/>
    </row>
    <row r="85" spans="1:12" x14ac:dyDescent="0.25">
      <c r="A85" s="66"/>
      <c r="B85" s="65"/>
      <c r="C85" s="66"/>
      <c r="D85" s="67"/>
      <c r="E85" s="62"/>
      <c r="F85" s="63"/>
      <c r="G85" s="64"/>
      <c r="H85" s="65"/>
      <c r="I85" s="18"/>
      <c r="J85" s="18"/>
      <c r="K85" s="18"/>
      <c r="L85" s="18"/>
    </row>
    <row r="86" spans="1:12" x14ac:dyDescent="0.25">
      <c r="A86" s="48" t="s">
        <v>120</v>
      </c>
      <c r="B86" s="2" t="s">
        <v>121</v>
      </c>
      <c r="C86" s="21" t="s">
        <v>11</v>
      </c>
      <c r="D86" s="36"/>
      <c r="E86" s="22">
        <v>45566</v>
      </c>
      <c r="F86" s="23">
        <v>45627</v>
      </c>
      <c r="G86" s="24">
        <f ca="1">DAYS360(TODAY(),F86)</f>
        <v>-154</v>
      </c>
      <c r="H86" s="31" t="s">
        <v>122</v>
      </c>
      <c r="I86" s="106" t="s">
        <v>123</v>
      </c>
      <c r="J86" s="1"/>
      <c r="K86" s="35"/>
      <c r="L86" s="1"/>
    </row>
    <row r="87" spans="1:12" x14ac:dyDescent="0.25">
      <c r="A87" s="48" t="s">
        <v>120</v>
      </c>
      <c r="B87" s="2"/>
      <c r="C87" s="40"/>
      <c r="D87" s="51"/>
      <c r="E87" s="42">
        <v>45413</v>
      </c>
      <c r="F87" s="43">
        <v>45444</v>
      </c>
      <c r="G87" s="44">
        <f ca="1">DAYS360(TODAY(),F87)</f>
        <v>-334</v>
      </c>
      <c r="H87" s="31" t="s">
        <v>124</v>
      </c>
      <c r="I87" s="35"/>
      <c r="J87" s="1"/>
      <c r="K87" s="35"/>
      <c r="L87" s="1"/>
    </row>
    <row r="88" spans="1:12" x14ac:dyDescent="0.25">
      <c r="A88" s="66"/>
      <c r="B88" s="65"/>
      <c r="C88" s="66"/>
      <c r="D88" s="67"/>
      <c r="E88" s="62"/>
      <c r="F88" s="63"/>
      <c r="G88" s="64"/>
      <c r="H88" s="65"/>
      <c r="I88" s="18"/>
      <c r="J88" s="18"/>
      <c r="K88" s="18"/>
      <c r="L88" s="18"/>
    </row>
    <row r="89" spans="1:12" x14ac:dyDescent="0.25">
      <c r="A89" s="48" t="s">
        <v>125</v>
      </c>
      <c r="B89" s="20" t="s">
        <v>126</v>
      </c>
      <c r="C89" s="21"/>
      <c r="D89" s="36"/>
      <c r="E89" s="22">
        <v>45536</v>
      </c>
      <c r="F89" s="23">
        <v>45566</v>
      </c>
      <c r="G89" s="24">
        <f ca="1">DAYS360(TODAY(),F89)</f>
        <v>-214</v>
      </c>
      <c r="H89" s="31" t="s">
        <v>127</v>
      </c>
      <c r="I89" s="106" t="s">
        <v>128</v>
      </c>
      <c r="J89" s="1"/>
      <c r="K89" s="35"/>
      <c r="L89" s="1"/>
    </row>
    <row r="90" spans="1:12" x14ac:dyDescent="0.25">
      <c r="A90" s="48" t="s">
        <v>125</v>
      </c>
      <c r="B90" s="2"/>
      <c r="C90" s="33"/>
      <c r="D90" s="34"/>
      <c r="E90" s="42">
        <v>45413</v>
      </c>
      <c r="F90" s="43">
        <v>45444</v>
      </c>
      <c r="G90" s="44">
        <f ca="1">DAYS360(TODAY(),F90)</f>
        <v>-334</v>
      </c>
      <c r="H90" s="31" t="s">
        <v>114</v>
      </c>
      <c r="I90" s="35"/>
      <c r="J90" s="1"/>
      <c r="K90" s="35"/>
      <c r="L90" s="1"/>
    </row>
    <row r="91" spans="1:12" x14ac:dyDescent="0.25">
      <c r="A91" s="66"/>
      <c r="B91" s="65"/>
      <c r="C91" s="66"/>
      <c r="D91" s="67"/>
      <c r="E91" s="62"/>
      <c r="F91" s="63"/>
      <c r="G91" s="64"/>
      <c r="H91" s="65"/>
      <c r="I91" s="18"/>
      <c r="J91" s="18"/>
      <c r="K91" s="18"/>
      <c r="L91" s="18"/>
    </row>
    <row r="92" spans="1:12" x14ac:dyDescent="0.25">
      <c r="A92" s="70" t="s">
        <v>129</v>
      </c>
      <c r="B92" s="9"/>
      <c r="C92" s="71"/>
      <c r="D92" s="72"/>
      <c r="E92" s="73"/>
      <c r="F92" s="74"/>
      <c r="G92" s="75"/>
      <c r="H92" s="9"/>
      <c r="I92" s="47"/>
      <c r="J92" s="1"/>
      <c r="K92" s="35"/>
      <c r="L92" s="1"/>
    </row>
    <row r="93" spans="1:12" x14ac:dyDescent="0.25">
      <c r="A93" s="57" t="s">
        <v>130</v>
      </c>
      <c r="B93" s="20" t="s">
        <v>131</v>
      </c>
      <c r="C93" s="21" t="s">
        <v>11</v>
      </c>
      <c r="D93" s="36"/>
      <c r="E93" s="22">
        <v>45566</v>
      </c>
      <c r="F93" s="23">
        <v>45597</v>
      </c>
      <c r="G93" s="24">
        <f ca="1">DAYS360(TODAY(),F93)</f>
        <v>-184</v>
      </c>
      <c r="H93" s="31" t="s">
        <v>132</v>
      </c>
      <c r="I93" s="106" t="s">
        <v>133</v>
      </c>
      <c r="J93" s="1"/>
      <c r="K93" s="35"/>
      <c r="L93" s="1"/>
    </row>
    <row r="94" spans="1:12" x14ac:dyDescent="0.25">
      <c r="A94" s="57" t="s">
        <v>130</v>
      </c>
      <c r="B94" s="2"/>
      <c r="C94" s="33"/>
      <c r="D94" s="56" t="s">
        <v>134</v>
      </c>
      <c r="E94" s="42">
        <v>45540</v>
      </c>
      <c r="F94" s="43">
        <v>45905</v>
      </c>
      <c r="G94" s="44">
        <f ca="1">DAYS360(TODAY(),F94)</f>
        <v>120</v>
      </c>
      <c r="H94" s="2"/>
      <c r="I94" s="35"/>
      <c r="J94" s="1"/>
      <c r="K94" s="35"/>
      <c r="L94" s="1"/>
    </row>
    <row r="95" spans="1:12" x14ac:dyDescent="0.25">
      <c r="A95" s="52"/>
      <c r="B95" s="17"/>
      <c r="C95" s="11"/>
      <c r="D95" s="77"/>
      <c r="E95" s="14"/>
      <c r="F95" s="15"/>
      <c r="G95" s="16"/>
      <c r="H95" s="17"/>
      <c r="I95" s="18"/>
      <c r="J95" s="18"/>
      <c r="K95" s="18"/>
      <c r="L95" s="18"/>
    </row>
    <row r="96" spans="1:12" x14ac:dyDescent="0.25">
      <c r="A96" s="57" t="s">
        <v>135</v>
      </c>
      <c r="B96" s="2" t="s">
        <v>136</v>
      </c>
      <c r="C96" s="30" t="s">
        <v>15</v>
      </c>
      <c r="D96" s="36"/>
      <c r="E96" s="22">
        <v>45566</v>
      </c>
      <c r="F96" s="23">
        <v>45597</v>
      </c>
      <c r="G96" s="24">
        <f ca="1">DAYS360(TODAY(),F96)</f>
        <v>-184</v>
      </c>
      <c r="H96" s="2"/>
      <c r="I96" s="106" t="s">
        <v>137</v>
      </c>
      <c r="J96" s="1"/>
      <c r="K96" s="35"/>
      <c r="L96" s="1"/>
    </row>
    <row r="97" spans="1:12" x14ac:dyDescent="0.25">
      <c r="A97" s="57" t="s">
        <v>135</v>
      </c>
      <c r="B97" s="20"/>
      <c r="C97" s="33"/>
      <c r="D97" s="56" t="s">
        <v>138</v>
      </c>
      <c r="E97" s="42">
        <v>45568</v>
      </c>
      <c r="F97" s="43">
        <v>45605</v>
      </c>
      <c r="G97" s="44">
        <f ca="1">DAYS360(TODAY(),F97)</f>
        <v>-176</v>
      </c>
      <c r="H97" s="20"/>
      <c r="I97" s="35"/>
      <c r="J97" s="1"/>
      <c r="K97" s="35"/>
      <c r="L97" s="1"/>
    </row>
    <row r="98" spans="1:12" x14ac:dyDescent="0.25">
      <c r="A98" s="66"/>
      <c r="B98" s="65"/>
      <c r="C98" s="66"/>
      <c r="D98" s="67"/>
      <c r="E98" s="62"/>
      <c r="F98" s="63"/>
      <c r="G98" s="64"/>
      <c r="H98" s="65"/>
      <c r="I98" s="18"/>
      <c r="J98" s="18"/>
      <c r="K98" s="18"/>
      <c r="L98" s="18"/>
    </row>
    <row r="99" spans="1:12" x14ac:dyDescent="0.25">
      <c r="A99" s="68" t="s">
        <v>139</v>
      </c>
      <c r="B99" s="2" t="s">
        <v>140</v>
      </c>
      <c r="C99" s="21" t="s">
        <v>11</v>
      </c>
      <c r="D99" s="36"/>
      <c r="E99" s="22">
        <v>45566</v>
      </c>
      <c r="F99" s="23">
        <v>45597</v>
      </c>
      <c r="G99" s="24">
        <f ca="1">DAYS360(TODAY(),F99)</f>
        <v>-184</v>
      </c>
      <c r="H99" s="31" t="s">
        <v>141</v>
      </c>
      <c r="I99" s="106" t="s">
        <v>142</v>
      </c>
      <c r="J99" s="1"/>
      <c r="K99" s="35"/>
      <c r="L99" s="1"/>
    </row>
    <row r="100" spans="1:12" x14ac:dyDescent="0.25">
      <c r="A100" s="68" t="s">
        <v>139</v>
      </c>
      <c r="B100" s="2"/>
      <c r="C100" s="33"/>
      <c r="D100" s="34" t="s">
        <v>143</v>
      </c>
      <c r="E100" s="42">
        <v>45415</v>
      </c>
      <c r="F100" s="43">
        <v>45599</v>
      </c>
      <c r="G100" s="44">
        <f ca="1">DAYS360(TODAY(),F100)</f>
        <v>-182</v>
      </c>
      <c r="H100" s="31" t="s">
        <v>144</v>
      </c>
      <c r="I100" s="35"/>
      <c r="J100" s="1"/>
      <c r="K100" s="35"/>
      <c r="L100" s="1"/>
    </row>
    <row r="101" spans="1:12" x14ac:dyDescent="0.25">
      <c r="A101" s="66"/>
      <c r="B101" s="65"/>
      <c r="C101" s="66"/>
      <c r="D101" s="67"/>
      <c r="E101" s="62"/>
      <c r="F101" s="63"/>
      <c r="G101" s="64"/>
      <c r="H101" s="65"/>
      <c r="I101" s="18"/>
      <c r="J101" s="18"/>
      <c r="K101" s="18"/>
      <c r="L101" s="18"/>
    </row>
    <row r="102" spans="1:12" x14ac:dyDescent="0.25">
      <c r="A102" s="68" t="s">
        <v>145</v>
      </c>
      <c r="B102" s="2" t="s">
        <v>146</v>
      </c>
      <c r="C102" s="21"/>
      <c r="D102" s="36"/>
      <c r="E102" s="22">
        <v>45413</v>
      </c>
      <c r="F102" s="23">
        <v>45444</v>
      </c>
      <c r="G102" s="24">
        <f ca="1">DAYS360(TODAY(),F102)</f>
        <v>-334</v>
      </c>
      <c r="H102" s="31" t="s">
        <v>147</v>
      </c>
      <c r="I102" s="106" t="s">
        <v>148</v>
      </c>
      <c r="J102" s="1"/>
      <c r="K102" s="35"/>
      <c r="L102" s="1"/>
    </row>
    <row r="103" spans="1:12" x14ac:dyDescent="0.25">
      <c r="A103" s="68" t="s">
        <v>145</v>
      </c>
      <c r="B103" s="2"/>
      <c r="C103" s="33"/>
      <c r="D103" s="34"/>
      <c r="E103" s="42">
        <v>45413</v>
      </c>
      <c r="F103" s="43">
        <v>45444</v>
      </c>
      <c r="G103" s="44">
        <f ca="1">DAYS360(TODAY(),F103)</f>
        <v>-334</v>
      </c>
      <c r="H103" s="31" t="s">
        <v>149</v>
      </c>
      <c r="I103" s="35"/>
      <c r="J103" s="1"/>
      <c r="K103" s="35"/>
      <c r="L103" s="1"/>
    </row>
    <row r="104" spans="1:12" x14ac:dyDescent="0.25">
      <c r="A104" s="66"/>
      <c r="B104" s="65"/>
      <c r="C104" s="66"/>
      <c r="D104" s="67"/>
      <c r="E104" s="62"/>
      <c r="F104" s="63"/>
      <c r="G104" s="64"/>
      <c r="H104" s="65"/>
      <c r="I104" s="18"/>
      <c r="J104" s="18"/>
      <c r="K104" s="18"/>
      <c r="L104" s="18"/>
    </row>
    <row r="105" spans="1:12" x14ac:dyDescent="0.25">
      <c r="A105" s="57" t="s">
        <v>150</v>
      </c>
      <c r="B105" s="20" t="s">
        <v>151</v>
      </c>
      <c r="C105" s="21" t="s">
        <v>11</v>
      </c>
      <c r="D105" s="36"/>
      <c r="E105" s="22">
        <v>45566</v>
      </c>
      <c r="F105" s="23">
        <v>45597</v>
      </c>
      <c r="G105" s="24">
        <f ca="1">DAYS360(TODAY(),F105)</f>
        <v>-184</v>
      </c>
      <c r="H105" s="2"/>
      <c r="I105" s="106" t="s">
        <v>152</v>
      </c>
      <c r="J105" s="1"/>
      <c r="K105" s="35"/>
      <c r="L105" s="1"/>
    </row>
    <row r="106" spans="1:12" x14ac:dyDescent="0.25">
      <c r="A106" s="57" t="s">
        <v>150</v>
      </c>
      <c r="B106" s="2"/>
      <c r="C106" s="49"/>
      <c r="D106" s="56" t="s">
        <v>153</v>
      </c>
      <c r="E106" s="26">
        <v>45496</v>
      </c>
      <c r="F106" s="27">
        <v>45597</v>
      </c>
      <c r="G106" s="28">
        <f ca="1">DAYS360(TODAY(),F106)</f>
        <v>-184</v>
      </c>
      <c r="H106" s="2"/>
      <c r="I106" s="35"/>
      <c r="J106" s="1"/>
      <c r="K106" s="35"/>
      <c r="L106" s="1"/>
    </row>
    <row r="107" spans="1:12" x14ac:dyDescent="0.25">
      <c r="A107" s="66"/>
      <c r="B107" s="65"/>
      <c r="C107" s="66"/>
      <c r="D107" s="67"/>
      <c r="E107" s="62"/>
      <c r="F107" s="63"/>
      <c r="G107" s="64"/>
      <c r="H107" s="65"/>
      <c r="I107" s="18"/>
      <c r="J107" s="18"/>
      <c r="K107" s="18"/>
      <c r="L107" s="18"/>
    </row>
    <row r="108" spans="1:12" x14ac:dyDescent="0.25">
      <c r="A108" s="68" t="s">
        <v>154</v>
      </c>
      <c r="B108" s="2" t="s">
        <v>155</v>
      </c>
      <c r="C108" s="21" t="s">
        <v>11</v>
      </c>
      <c r="D108" s="36"/>
      <c r="E108" s="22">
        <v>45566</v>
      </c>
      <c r="F108" s="23">
        <v>45656</v>
      </c>
      <c r="G108" s="24">
        <f ca="1">DAYS360(TODAY(),F108)</f>
        <v>-125</v>
      </c>
      <c r="H108" s="31" t="s">
        <v>156</v>
      </c>
      <c r="I108" s="35"/>
      <c r="J108" s="1"/>
      <c r="K108" s="35"/>
      <c r="L108" s="1"/>
    </row>
    <row r="109" spans="1:12" x14ac:dyDescent="0.25">
      <c r="A109" s="68" t="s">
        <v>154</v>
      </c>
      <c r="B109" s="2"/>
      <c r="C109" s="78"/>
      <c r="D109" s="79" t="s">
        <v>157</v>
      </c>
      <c r="E109" s="26">
        <v>45592</v>
      </c>
      <c r="F109" s="27">
        <v>45957</v>
      </c>
      <c r="G109" s="28">
        <f ca="1">DAYS360(TODAY(),F109)</f>
        <v>172</v>
      </c>
      <c r="H109" s="2"/>
      <c r="I109" s="35"/>
      <c r="J109" s="1"/>
      <c r="K109" s="35"/>
      <c r="L109" s="1"/>
    </row>
    <row r="110" spans="1:12" x14ac:dyDescent="0.25">
      <c r="A110" s="66"/>
      <c r="B110" s="65"/>
      <c r="C110" s="66"/>
      <c r="D110" s="67"/>
      <c r="E110" s="62"/>
      <c r="F110" s="63"/>
      <c r="G110" s="64"/>
      <c r="H110" s="65"/>
      <c r="I110" s="18"/>
      <c r="J110" s="18"/>
      <c r="K110" s="18"/>
      <c r="L110" s="18"/>
    </row>
    <row r="111" spans="1:12" x14ac:dyDescent="0.25">
      <c r="A111" s="57" t="s">
        <v>158</v>
      </c>
      <c r="B111" s="20" t="s">
        <v>159</v>
      </c>
      <c r="C111" s="80" t="s">
        <v>110</v>
      </c>
      <c r="D111" s="81"/>
      <c r="E111" s="22">
        <v>45444</v>
      </c>
      <c r="F111" s="23">
        <v>45809</v>
      </c>
      <c r="G111" s="24">
        <f ca="1">DAYS360(TODAY(),F111)</f>
        <v>26</v>
      </c>
      <c r="H111" s="31" t="s">
        <v>160</v>
      </c>
      <c r="I111" s="35"/>
      <c r="J111" s="1"/>
      <c r="K111" s="35"/>
      <c r="L111" s="1"/>
    </row>
    <row r="112" spans="1:12" x14ac:dyDescent="0.25">
      <c r="A112" s="57" t="s">
        <v>158</v>
      </c>
      <c r="B112" s="2"/>
      <c r="C112" s="49"/>
      <c r="D112" s="56" t="s">
        <v>12</v>
      </c>
      <c r="E112" s="26">
        <v>45554</v>
      </c>
      <c r="F112" s="27">
        <v>45919</v>
      </c>
      <c r="G112" s="28">
        <f ca="1">DAYS360(TODAY(),F112)</f>
        <v>134</v>
      </c>
      <c r="H112" s="31" t="s">
        <v>161</v>
      </c>
      <c r="I112" s="35"/>
      <c r="J112" s="1"/>
      <c r="K112" s="35"/>
      <c r="L112" s="1"/>
    </row>
    <row r="113" spans="1:12" x14ac:dyDescent="0.25">
      <c r="A113" s="66"/>
      <c r="B113" s="65"/>
      <c r="C113" s="66"/>
      <c r="D113" s="67"/>
      <c r="E113" s="62"/>
      <c r="F113" s="63"/>
      <c r="G113" s="64"/>
      <c r="H113" s="65"/>
      <c r="I113" s="18"/>
      <c r="J113" s="18"/>
      <c r="K113" s="18"/>
      <c r="L113" s="18"/>
    </row>
    <row r="114" spans="1:12" x14ac:dyDescent="0.25">
      <c r="A114" s="57" t="s">
        <v>162</v>
      </c>
      <c r="B114" s="20" t="s">
        <v>163</v>
      </c>
      <c r="C114" s="80" t="s">
        <v>164</v>
      </c>
      <c r="D114" s="81"/>
      <c r="E114" s="22">
        <v>45560</v>
      </c>
      <c r="F114" s="23">
        <v>45598</v>
      </c>
      <c r="G114" s="24">
        <f ca="1">DAYS360(TODAY(),F114)</f>
        <v>-183</v>
      </c>
      <c r="H114" s="31" t="s">
        <v>165</v>
      </c>
      <c r="I114" s="35"/>
      <c r="J114" s="1"/>
      <c r="K114" s="35"/>
      <c r="L114" s="1"/>
    </row>
    <row r="115" spans="1:12" x14ac:dyDescent="0.25">
      <c r="A115" s="57" t="s">
        <v>162</v>
      </c>
      <c r="B115" s="2"/>
      <c r="C115" s="49"/>
      <c r="D115" s="56" t="s">
        <v>134</v>
      </c>
      <c r="E115" s="26">
        <v>45251</v>
      </c>
      <c r="F115" s="27">
        <v>45617</v>
      </c>
      <c r="G115" s="28">
        <f ca="1">DAYS360(TODAY(),F115)</f>
        <v>-164</v>
      </c>
      <c r="H115" s="31" t="s">
        <v>166</v>
      </c>
      <c r="I115" s="35"/>
      <c r="J115" s="1"/>
      <c r="K115" s="35"/>
      <c r="L115" s="1"/>
    </row>
    <row r="116" spans="1:12" x14ac:dyDescent="0.25">
      <c r="A116" s="66"/>
      <c r="B116" s="65"/>
      <c r="C116" s="66"/>
      <c r="D116" s="67"/>
      <c r="E116" s="62"/>
      <c r="F116" s="63"/>
      <c r="G116" s="64"/>
      <c r="H116" s="65"/>
      <c r="I116" s="18"/>
      <c r="J116" s="18"/>
      <c r="K116" s="18"/>
      <c r="L116" s="18"/>
    </row>
    <row r="117" spans="1:12" x14ac:dyDescent="0.25">
      <c r="A117" s="29" t="s">
        <v>167</v>
      </c>
      <c r="B117" s="32" t="s">
        <v>168</v>
      </c>
      <c r="C117" s="30" t="s">
        <v>169</v>
      </c>
      <c r="D117" s="76"/>
      <c r="E117" s="23">
        <v>45566</v>
      </c>
      <c r="F117" s="23">
        <v>45597</v>
      </c>
      <c r="G117" s="24">
        <f ca="1">DAYS360(TODAY(),F117)</f>
        <v>-184</v>
      </c>
      <c r="H117" s="31" t="s">
        <v>170</v>
      </c>
      <c r="I117" s="106" t="s">
        <v>171</v>
      </c>
      <c r="J117" s="1"/>
      <c r="K117" s="35"/>
      <c r="L117" s="1"/>
    </row>
    <row r="118" spans="1:12" x14ac:dyDescent="0.25">
      <c r="A118" s="29" t="s">
        <v>167</v>
      </c>
      <c r="B118" s="32"/>
      <c r="C118" s="33"/>
      <c r="D118" s="56" t="s">
        <v>134</v>
      </c>
      <c r="E118" s="26">
        <v>45384</v>
      </c>
      <c r="F118" s="27">
        <v>45749</v>
      </c>
      <c r="G118" s="28">
        <f ca="1">DAYS360(TODAY(),F118)</f>
        <v>-33</v>
      </c>
      <c r="H118" s="2"/>
      <c r="I118" s="35"/>
      <c r="J118" s="1"/>
      <c r="K118" s="35"/>
      <c r="L118" s="1"/>
    </row>
    <row r="119" spans="1:12" x14ac:dyDescent="0.25">
      <c r="A119" s="66"/>
      <c r="B119" s="82"/>
      <c r="C119" s="66"/>
      <c r="D119" s="83"/>
      <c r="E119" s="62"/>
      <c r="F119" s="63"/>
      <c r="G119" s="64"/>
      <c r="H119" s="65"/>
      <c r="I119" s="18"/>
      <c r="J119" s="18"/>
      <c r="K119" s="18"/>
      <c r="L119" s="18"/>
    </row>
    <row r="120" spans="1:12" x14ac:dyDescent="0.25">
      <c r="A120" s="57" t="s">
        <v>172</v>
      </c>
      <c r="B120" s="2" t="s">
        <v>173</v>
      </c>
      <c r="C120" s="21" t="s">
        <v>11</v>
      </c>
      <c r="D120" s="81"/>
      <c r="E120" s="22">
        <v>45453</v>
      </c>
      <c r="F120" s="23">
        <v>45657</v>
      </c>
      <c r="G120" s="24">
        <f ca="1">DAYS360(TODAY(),F120)</f>
        <v>-124</v>
      </c>
      <c r="H120" s="31" t="s">
        <v>174</v>
      </c>
      <c r="I120" s="106" t="s">
        <v>175</v>
      </c>
      <c r="J120" s="1"/>
      <c r="K120" s="35"/>
      <c r="L120" s="1"/>
    </row>
    <row r="121" spans="1:12" x14ac:dyDescent="0.25">
      <c r="A121" s="57" t="s">
        <v>172</v>
      </c>
      <c r="B121" s="32"/>
      <c r="C121" s="49"/>
      <c r="D121" s="56" t="s">
        <v>134</v>
      </c>
      <c r="E121" s="26">
        <v>45320</v>
      </c>
      <c r="F121" s="27">
        <v>45686</v>
      </c>
      <c r="G121" s="28">
        <f ca="1">DAYS360(TODAY(),F121)</f>
        <v>-96</v>
      </c>
      <c r="H121" s="2"/>
      <c r="I121" s="35"/>
      <c r="J121" s="1"/>
      <c r="K121" s="35"/>
      <c r="L121" s="1"/>
    </row>
    <row r="122" spans="1:12" x14ac:dyDescent="0.25">
      <c r="A122" s="84"/>
      <c r="B122" s="17"/>
      <c r="C122" s="85"/>
      <c r="D122" s="86"/>
      <c r="E122" s="14"/>
      <c r="F122" s="15"/>
      <c r="G122" s="16"/>
      <c r="H122" s="17"/>
      <c r="I122" s="18"/>
      <c r="J122" s="18"/>
      <c r="K122" s="18"/>
      <c r="L122" s="18"/>
    </row>
    <row r="123" spans="1:12" x14ac:dyDescent="0.25">
      <c r="A123" s="57" t="s">
        <v>176</v>
      </c>
      <c r="B123" s="2" t="s">
        <v>173</v>
      </c>
      <c r="C123" s="21" t="s">
        <v>11</v>
      </c>
      <c r="D123" s="36"/>
      <c r="E123" s="22">
        <v>45453</v>
      </c>
      <c r="F123" s="23">
        <v>45657</v>
      </c>
      <c r="G123" s="24">
        <f t="shared" ref="G123:G124" ca="1" si="1">DAYS360(TODAY(),F123)</f>
        <v>-124</v>
      </c>
      <c r="H123" s="31" t="s">
        <v>177</v>
      </c>
      <c r="I123" s="106" t="s">
        <v>178</v>
      </c>
      <c r="J123" s="1"/>
      <c r="K123" s="35"/>
      <c r="L123" s="1"/>
    </row>
    <row r="124" spans="1:12" x14ac:dyDescent="0.25">
      <c r="A124" s="57" t="s">
        <v>176</v>
      </c>
      <c r="B124" s="32"/>
      <c r="C124" s="49"/>
      <c r="D124" s="56" t="s">
        <v>134</v>
      </c>
      <c r="E124" s="26">
        <v>45320</v>
      </c>
      <c r="F124" s="27">
        <v>45686</v>
      </c>
      <c r="G124" s="28">
        <f t="shared" ca="1" si="1"/>
        <v>-96</v>
      </c>
      <c r="H124" s="2"/>
      <c r="I124" s="35"/>
      <c r="J124" s="1"/>
      <c r="K124" s="35"/>
      <c r="L124" s="1"/>
    </row>
    <row r="125" spans="1:12" x14ac:dyDescent="0.25">
      <c r="A125" s="84"/>
      <c r="B125" s="17"/>
      <c r="C125" s="85"/>
      <c r="D125" s="86"/>
      <c r="E125" s="14"/>
      <c r="F125" s="15"/>
      <c r="G125" s="16"/>
      <c r="H125" s="17"/>
      <c r="I125" s="18"/>
      <c r="J125" s="18"/>
      <c r="K125" s="18"/>
      <c r="L125" s="18"/>
    </row>
    <row r="126" spans="1:12" x14ac:dyDescent="0.25">
      <c r="A126" s="57" t="s">
        <v>179</v>
      </c>
      <c r="B126" s="32" t="s">
        <v>180</v>
      </c>
      <c r="C126" s="21" t="s">
        <v>11</v>
      </c>
      <c r="D126" s="81"/>
      <c r="E126" s="22">
        <v>45577</v>
      </c>
      <c r="F126" s="23">
        <v>45578</v>
      </c>
      <c r="G126" s="24">
        <f ca="1">DAYS360(TODAY(),F126)</f>
        <v>-202</v>
      </c>
      <c r="H126" s="31" t="s">
        <v>181</v>
      </c>
      <c r="I126" s="35"/>
      <c r="J126" s="1"/>
      <c r="K126" s="35"/>
      <c r="L126" s="1"/>
    </row>
    <row r="127" spans="1:12" x14ac:dyDescent="0.25">
      <c r="A127" s="57" t="s">
        <v>179</v>
      </c>
      <c r="B127" s="32"/>
      <c r="C127" s="49"/>
      <c r="D127" s="56" t="s">
        <v>182</v>
      </c>
      <c r="E127" s="26">
        <v>45576</v>
      </c>
      <c r="F127" s="27">
        <v>45586</v>
      </c>
      <c r="G127" s="28">
        <f ca="1">DAYS360(TODAY(),F127)</f>
        <v>-194</v>
      </c>
      <c r="H127" s="31" t="s">
        <v>183</v>
      </c>
      <c r="I127" s="35"/>
      <c r="J127" s="1"/>
      <c r="K127" s="35"/>
      <c r="L127" s="1"/>
    </row>
    <row r="128" spans="1:12" x14ac:dyDescent="0.25">
      <c r="A128" s="84"/>
      <c r="B128" s="17"/>
      <c r="C128" s="85"/>
      <c r="D128" s="86"/>
      <c r="E128" s="14"/>
      <c r="F128" s="15"/>
      <c r="G128" s="16"/>
      <c r="H128" s="17"/>
      <c r="I128" s="18"/>
      <c r="J128" s="18"/>
      <c r="K128" s="18"/>
      <c r="L128" s="18"/>
    </row>
    <row r="129" spans="1:12" x14ac:dyDescent="0.25">
      <c r="A129" s="87" t="s">
        <v>184</v>
      </c>
      <c r="B129" s="9"/>
      <c r="C129" s="88"/>
      <c r="D129" s="89"/>
      <c r="E129" s="73"/>
      <c r="F129" s="74"/>
      <c r="G129" s="75"/>
      <c r="H129" s="9"/>
      <c r="I129" s="35"/>
      <c r="J129" s="1"/>
      <c r="K129" s="35"/>
      <c r="L129" s="1"/>
    </row>
    <row r="130" spans="1:12" x14ac:dyDescent="0.25">
      <c r="A130" s="55" t="s">
        <v>185</v>
      </c>
      <c r="B130" s="2" t="s">
        <v>186</v>
      </c>
      <c r="C130" s="21" t="s">
        <v>11</v>
      </c>
      <c r="D130" s="81"/>
      <c r="E130" s="22">
        <v>45566</v>
      </c>
      <c r="F130" s="23">
        <v>45597</v>
      </c>
      <c r="G130" s="24">
        <f t="shared" ref="G130" ca="1" si="2">DAYS360(TODAY(),F130)</f>
        <v>-184</v>
      </c>
      <c r="H130" s="31" t="s">
        <v>187</v>
      </c>
      <c r="I130" s="106" t="s">
        <v>188</v>
      </c>
      <c r="J130" s="1"/>
      <c r="K130" s="35"/>
      <c r="L130" s="1"/>
    </row>
    <row r="131" spans="1:12" x14ac:dyDescent="0.25">
      <c r="A131" s="55" t="s">
        <v>185</v>
      </c>
      <c r="B131" s="32"/>
      <c r="C131" s="90"/>
      <c r="D131" s="34" t="s">
        <v>27</v>
      </c>
      <c r="E131" s="26">
        <v>45312</v>
      </c>
      <c r="F131" s="27">
        <v>45678</v>
      </c>
      <c r="G131" s="28">
        <f ca="1">DAYS360(TODAY(),F131)</f>
        <v>-104</v>
      </c>
      <c r="H131" s="31" t="s">
        <v>189</v>
      </c>
      <c r="I131" s="35"/>
      <c r="J131" s="1"/>
      <c r="K131" s="35"/>
      <c r="L131" s="1"/>
    </row>
    <row r="132" spans="1:12" x14ac:dyDescent="0.25">
      <c r="A132" s="91"/>
      <c r="B132" s="92"/>
      <c r="C132" s="85"/>
      <c r="D132" s="86"/>
      <c r="E132" s="14"/>
      <c r="F132" s="15"/>
      <c r="G132" s="16"/>
      <c r="H132" s="17"/>
      <c r="I132" s="18"/>
      <c r="J132" s="18"/>
      <c r="K132" s="18"/>
      <c r="L132" s="18"/>
    </row>
    <row r="133" spans="1:12" x14ac:dyDescent="0.25">
      <c r="A133" s="39" t="s">
        <v>190</v>
      </c>
      <c r="B133" s="2" t="s">
        <v>191</v>
      </c>
      <c r="C133" s="21" t="s">
        <v>11</v>
      </c>
      <c r="D133" s="81"/>
      <c r="E133" s="22">
        <v>45597</v>
      </c>
      <c r="F133" s="23">
        <v>45627</v>
      </c>
      <c r="G133" s="24">
        <f t="shared" ref="G133:G134" ca="1" si="3">DAYS360(TODAY(),F133)</f>
        <v>-154</v>
      </c>
      <c r="H133" s="2"/>
      <c r="I133" s="106" t="s">
        <v>192</v>
      </c>
      <c r="J133" s="1"/>
      <c r="K133" s="35"/>
      <c r="L133" s="1"/>
    </row>
    <row r="134" spans="1:12" x14ac:dyDescent="0.25">
      <c r="A134" s="39" t="s">
        <v>190</v>
      </c>
      <c r="B134" s="2"/>
      <c r="C134" s="93"/>
      <c r="D134" s="56" t="s">
        <v>193</v>
      </c>
      <c r="E134" s="42">
        <v>45578</v>
      </c>
      <c r="F134" s="43">
        <v>45943</v>
      </c>
      <c r="G134" s="44">
        <f t="shared" ca="1" si="3"/>
        <v>158</v>
      </c>
      <c r="H134" s="2"/>
      <c r="I134" s="35"/>
      <c r="J134" s="1"/>
      <c r="K134" s="35"/>
      <c r="L134" s="1"/>
    </row>
    <row r="135" spans="1:12" x14ac:dyDescent="0.25">
      <c r="A135" s="85"/>
      <c r="B135" s="92"/>
      <c r="C135" s="84"/>
      <c r="D135" s="77"/>
      <c r="E135" s="14"/>
      <c r="F135" s="15"/>
      <c r="G135" s="16"/>
      <c r="H135" s="85"/>
      <c r="I135" s="18"/>
      <c r="J135" s="18"/>
      <c r="K135" s="18"/>
      <c r="L135" s="18"/>
    </row>
    <row r="136" spans="1:12" x14ac:dyDescent="0.25">
      <c r="A136" s="94" t="s">
        <v>194</v>
      </c>
      <c r="B136" s="2" t="s">
        <v>195</v>
      </c>
      <c r="C136" s="21" t="s">
        <v>11</v>
      </c>
      <c r="D136" s="81"/>
      <c r="E136" s="22">
        <v>45627</v>
      </c>
      <c r="F136" s="23">
        <v>45658</v>
      </c>
      <c r="G136" s="24">
        <f ca="1">DAYS360(TODAY(),F136)</f>
        <v>-124</v>
      </c>
      <c r="H136" s="1"/>
      <c r="I136" s="35"/>
      <c r="J136" s="1"/>
      <c r="K136" s="35"/>
      <c r="L136" s="1"/>
    </row>
    <row r="137" spans="1:12" x14ac:dyDescent="0.25">
      <c r="A137" s="94" t="s">
        <v>194</v>
      </c>
      <c r="B137" s="2"/>
      <c r="C137" s="93"/>
      <c r="D137" s="56" t="s">
        <v>57</v>
      </c>
      <c r="E137" s="26">
        <v>45646</v>
      </c>
      <c r="F137" s="27">
        <v>45677</v>
      </c>
      <c r="G137" s="28">
        <f ca="1">DAYS360(TODAY(),F137)</f>
        <v>-105</v>
      </c>
      <c r="H137" s="1"/>
      <c r="I137" s="35"/>
      <c r="J137" s="1"/>
      <c r="K137" s="35"/>
      <c r="L137" s="1"/>
    </row>
    <row r="138" spans="1:12" x14ac:dyDescent="0.25">
      <c r="A138" s="85"/>
      <c r="B138" s="92"/>
      <c r="C138" s="84"/>
      <c r="D138" s="77"/>
      <c r="E138" s="14"/>
      <c r="F138" s="15"/>
      <c r="G138" s="16"/>
      <c r="H138" s="85"/>
      <c r="I138" s="18"/>
      <c r="J138" s="18"/>
      <c r="K138" s="18"/>
      <c r="L138" s="18"/>
    </row>
    <row r="139" spans="1:12" x14ac:dyDescent="0.25">
      <c r="A139" s="39" t="s">
        <v>196</v>
      </c>
      <c r="B139" s="20" t="s">
        <v>197</v>
      </c>
      <c r="C139" s="21" t="s">
        <v>11</v>
      </c>
      <c r="D139" s="81"/>
      <c r="E139" s="22">
        <v>45566</v>
      </c>
      <c r="F139" s="23">
        <v>45597</v>
      </c>
      <c r="G139" s="24">
        <f ca="1">DAYS360(TODAY(),F139)</f>
        <v>-184</v>
      </c>
      <c r="H139" s="2"/>
      <c r="I139" s="35"/>
      <c r="J139" s="1"/>
      <c r="K139" s="35"/>
      <c r="L139" s="1"/>
    </row>
    <row r="140" spans="1:12" x14ac:dyDescent="0.25">
      <c r="A140" s="39" t="s">
        <v>196</v>
      </c>
      <c r="B140" s="2"/>
      <c r="C140" s="49"/>
      <c r="D140" s="56" t="s">
        <v>48</v>
      </c>
      <c r="E140" s="26">
        <v>45248</v>
      </c>
      <c r="F140" s="27">
        <v>45614</v>
      </c>
      <c r="G140" s="28">
        <f ca="1">DAYS360(TODAY(),F140)</f>
        <v>-167</v>
      </c>
      <c r="H140" s="2"/>
      <c r="I140" s="35"/>
      <c r="J140" s="1"/>
      <c r="K140" s="35"/>
      <c r="L140" s="1"/>
    </row>
    <row r="141" spans="1:12" x14ac:dyDescent="0.25">
      <c r="A141" s="85"/>
      <c r="B141" s="92"/>
      <c r="C141" s="85"/>
      <c r="D141" s="86"/>
      <c r="E141" s="22"/>
      <c r="F141" s="15"/>
      <c r="G141" s="16"/>
      <c r="H141" s="85"/>
      <c r="I141" s="18"/>
      <c r="J141" s="18"/>
      <c r="K141" s="18"/>
      <c r="L141" s="18"/>
    </row>
    <row r="142" spans="1:12" x14ac:dyDescent="0.25">
      <c r="A142" s="94" t="s">
        <v>198</v>
      </c>
      <c r="B142" s="2" t="s">
        <v>199</v>
      </c>
      <c r="C142" s="21" t="s">
        <v>11</v>
      </c>
      <c r="D142" s="81"/>
      <c r="E142" s="22">
        <v>45597</v>
      </c>
      <c r="F142" s="23">
        <v>45627</v>
      </c>
      <c r="G142" s="24">
        <f ca="1">DAYS360(TODAY(),F142)</f>
        <v>-154</v>
      </c>
      <c r="H142" s="1"/>
      <c r="I142" s="35"/>
      <c r="J142" s="1"/>
      <c r="K142" s="35"/>
      <c r="L142" s="1"/>
    </row>
    <row r="143" spans="1:12" x14ac:dyDescent="0.25">
      <c r="A143" s="94" t="s">
        <v>198</v>
      </c>
      <c r="B143" s="1"/>
      <c r="C143" s="78"/>
      <c r="D143" s="56" t="s">
        <v>48</v>
      </c>
      <c r="E143" s="26">
        <v>45570</v>
      </c>
      <c r="F143" s="27">
        <v>45632</v>
      </c>
      <c r="G143" s="28">
        <f t="shared" ref="G143" ca="1" si="4">DAYS360(TODAY(),F143)</f>
        <v>-149</v>
      </c>
      <c r="H143" s="1"/>
      <c r="I143" s="35"/>
      <c r="J143" s="1"/>
      <c r="K143" s="35"/>
      <c r="L143" s="1"/>
    </row>
    <row r="144" spans="1:12" x14ac:dyDescent="0.25">
      <c r="A144" s="91"/>
      <c r="B144" s="92"/>
      <c r="C144" s="85"/>
      <c r="D144" s="86"/>
      <c r="E144" s="14"/>
      <c r="F144" s="15"/>
      <c r="G144" s="16"/>
      <c r="H144" s="85"/>
      <c r="I144" s="18"/>
      <c r="J144" s="18"/>
      <c r="K144" s="18"/>
      <c r="L144" s="18"/>
    </row>
    <row r="145" spans="1:12" x14ac:dyDescent="0.25">
      <c r="A145" s="39" t="s">
        <v>200</v>
      </c>
      <c r="B145" s="2" t="s">
        <v>201</v>
      </c>
      <c r="C145" s="30" t="s">
        <v>15</v>
      </c>
      <c r="D145" s="21"/>
      <c r="E145" s="22">
        <v>45566</v>
      </c>
      <c r="F145" s="23">
        <v>45597</v>
      </c>
      <c r="G145" s="24">
        <f ca="1">DAYS360(TODAY(),F145)</f>
        <v>-184</v>
      </c>
      <c r="H145" s="31" t="s">
        <v>202</v>
      </c>
      <c r="I145" s="35"/>
      <c r="J145" s="1"/>
      <c r="K145" s="35"/>
      <c r="L145" s="1"/>
    </row>
    <row r="146" spans="1:12" x14ac:dyDescent="0.25">
      <c r="A146" s="39" t="s">
        <v>200</v>
      </c>
      <c r="B146" s="32"/>
      <c r="C146" s="40"/>
      <c r="D146" s="34" t="s">
        <v>203</v>
      </c>
      <c r="E146" s="26">
        <v>45365</v>
      </c>
      <c r="F146" s="27">
        <v>45747</v>
      </c>
      <c r="G146" s="28">
        <f ca="1">DAYS360(TODAY(),F146)</f>
        <v>-34</v>
      </c>
      <c r="H146" s="31" t="s">
        <v>204</v>
      </c>
      <c r="I146" s="35"/>
      <c r="J146" s="1"/>
      <c r="K146" s="35"/>
      <c r="L146" s="1"/>
    </row>
    <row r="147" spans="1:12" x14ac:dyDescent="0.25">
      <c r="A147" s="52"/>
      <c r="B147" s="12"/>
      <c r="C147" s="52"/>
      <c r="D147" s="95"/>
      <c r="E147" s="14"/>
      <c r="F147" s="15"/>
      <c r="G147" s="16"/>
      <c r="H147" s="17"/>
      <c r="I147" s="18"/>
      <c r="J147" s="18"/>
      <c r="K147" s="18"/>
      <c r="L147" s="18"/>
    </row>
    <row r="148" spans="1:12" x14ac:dyDescent="0.25">
      <c r="A148" s="39" t="s">
        <v>205</v>
      </c>
      <c r="B148" s="2" t="s">
        <v>206</v>
      </c>
      <c r="C148" s="80"/>
      <c r="D148" s="21"/>
      <c r="E148" s="22">
        <v>45413</v>
      </c>
      <c r="F148" s="23">
        <v>45444</v>
      </c>
      <c r="G148" s="24">
        <f ca="1">DAYS360(TODAY(),F148)</f>
        <v>-334</v>
      </c>
      <c r="H148" s="31" t="s">
        <v>207</v>
      </c>
      <c r="I148" s="35"/>
      <c r="J148" s="1"/>
      <c r="K148" s="35"/>
      <c r="L148" s="1"/>
    </row>
    <row r="149" spans="1:12" x14ac:dyDescent="0.25">
      <c r="A149" s="39" t="s">
        <v>205</v>
      </c>
      <c r="B149" s="2"/>
      <c r="C149" s="40"/>
      <c r="D149" s="96"/>
      <c r="E149" s="42">
        <v>45413</v>
      </c>
      <c r="F149" s="43">
        <v>45444</v>
      </c>
      <c r="G149" s="44">
        <f ca="1">DAYS360(TODAY(),F149)</f>
        <v>-334</v>
      </c>
      <c r="H149" s="2"/>
      <c r="I149" s="35"/>
      <c r="J149" s="1"/>
      <c r="K149" s="35"/>
      <c r="L149" s="1"/>
    </row>
    <row r="150" spans="1:12" x14ac:dyDescent="0.25">
      <c r="A150" s="52"/>
      <c r="B150" s="17"/>
      <c r="C150" s="52"/>
      <c r="D150" s="84"/>
      <c r="E150" s="14"/>
      <c r="F150" s="15"/>
      <c r="G150" s="16"/>
      <c r="H150" s="17"/>
      <c r="I150" s="18"/>
      <c r="J150" s="18"/>
      <c r="K150" s="18"/>
      <c r="L150" s="18"/>
    </row>
    <row r="151" spans="1:12" x14ac:dyDescent="0.25">
      <c r="A151" s="39" t="s">
        <v>208</v>
      </c>
      <c r="B151" s="2" t="s">
        <v>209</v>
      </c>
      <c r="C151" s="80"/>
      <c r="D151" s="21"/>
      <c r="E151" s="22">
        <v>45413</v>
      </c>
      <c r="F151" s="23">
        <v>45444</v>
      </c>
      <c r="G151" s="24">
        <f ca="1">DAYS360(TODAY(),F151)</f>
        <v>-334</v>
      </c>
      <c r="H151" s="2"/>
      <c r="I151" s="35"/>
      <c r="J151" s="1"/>
      <c r="K151" s="35"/>
      <c r="L151" s="1"/>
    </row>
    <row r="152" spans="1:12" x14ac:dyDescent="0.25">
      <c r="A152" s="39" t="s">
        <v>208</v>
      </c>
      <c r="B152" s="2"/>
      <c r="C152" s="40"/>
      <c r="D152" s="96"/>
      <c r="E152" s="42">
        <v>45413</v>
      </c>
      <c r="F152" s="43">
        <v>45444</v>
      </c>
      <c r="G152" s="44">
        <f ca="1">DAYS360(TODAY(),F152)</f>
        <v>-334</v>
      </c>
      <c r="H152" s="2"/>
      <c r="I152" s="35"/>
      <c r="J152" s="1"/>
      <c r="K152" s="35"/>
      <c r="L152" s="1"/>
    </row>
    <row r="153" spans="1:12" x14ac:dyDescent="0.25">
      <c r="A153" s="52"/>
      <c r="B153" s="84"/>
      <c r="C153" s="52"/>
      <c r="D153" s="84"/>
      <c r="E153" s="14"/>
      <c r="F153" s="15"/>
      <c r="G153" s="16"/>
      <c r="H153" s="17"/>
      <c r="I153" s="18"/>
      <c r="J153" s="18"/>
      <c r="K153" s="18"/>
      <c r="L153" s="18"/>
    </row>
    <row r="154" spans="1:12" x14ac:dyDescent="0.25">
      <c r="A154" s="68" t="s">
        <v>210</v>
      </c>
      <c r="B154" s="2" t="s">
        <v>211</v>
      </c>
      <c r="C154" s="21" t="s">
        <v>11</v>
      </c>
      <c r="D154" s="36"/>
      <c r="E154" s="22">
        <v>45569</v>
      </c>
      <c r="F154" s="23">
        <v>45600</v>
      </c>
      <c r="G154" s="24">
        <f t="shared" ref="G154:G155" ca="1" si="5">DAYS360(TODAY(),F154)</f>
        <v>-181</v>
      </c>
      <c r="H154" s="1"/>
      <c r="I154" s="35"/>
      <c r="J154" s="1"/>
      <c r="K154" s="35"/>
      <c r="L154" s="1"/>
    </row>
    <row r="155" spans="1:12" x14ac:dyDescent="0.25">
      <c r="A155" s="68" t="s">
        <v>210</v>
      </c>
      <c r="B155" s="1"/>
      <c r="C155" s="97"/>
      <c r="D155" s="98" t="s">
        <v>203</v>
      </c>
      <c r="E155" s="99">
        <v>45588</v>
      </c>
      <c r="F155" s="100">
        <v>45923</v>
      </c>
      <c r="G155" s="101">
        <f t="shared" ca="1" si="5"/>
        <v>138</v>
      </c>
      <c r="H155" s="1"/>
      <c r="I155" s="35"/>
      <c r="J155" s="1"/>
      <c r="K155" s="35"/>
      <c r="L155" s="1"/>
    </row>
    <row r="156" spans="1:12" x14ac:dyDescent="0.25">
      <c r="A156" s="52"/>
      <c r="B156" s="84"/>
      <c r="C156" s="52"/>
      <c r="D156" s="84"/>
      <c r="E156" s="14"/>
      <c r="F156" s="15"/>
      <c r="G156" s="16"/>
      <c r="H156" s="17"/>
      <c r="I156" s="18"/>
      <c r="J156" s="18"/>
      <c r="K156" s="18"/>
      <c r="L156" s="18"/>
    </row>
    <row r="157" spans="1:12" x14ac:dyDescent="0.25">
      <c r="A157" s="68" t="s">
        <v>212</v>
      </c>
      <c r="B157" s="2" t="s">
        <v>213</v>
      </c>
      <c r="C157" s="1"/>
      <c r="D157" s="1"/>
      <c r="E157" s="102">
        <v>45413</v>
      </c>
      <c r="F157" s="103">
        <v>45444</v>
      </c>
      <c r="G157" s="104">
        <f t="shared" ref="G157:G164" ca="1" si="6">DAYS360(TODAY(),F157)</f>
        <v>-334</v>
      </c>
      <c r="H157" s="1"/>
      <c r="I157" s="35"/>
      <c r="J157" s="1"/>
      <c r="K157" s="35"/>
      <c r="L157" s="1"/>
    </row>
    <row r="158" spans="1:12" x14ac:dyDescent="0.25">
      <c r="A158" s="68" t="s">
        <v>212</v>
      </c>
      <c r="B158" s="1"/>
      <c r="C158" s="1"/>
      <c r="D158" s="1"/>
      <c r="E158" s="102">
        <v>45413</v>
      </c>
      <c r="F158" s="103">
        <v>45444</v>
      </c>
      <c r="G158" s="104">
        <f t="shared" ca="1" si="6"/>
        <v>-334</v>
      </c>
      <c r="H158" s="1"/>
      <c r="I158" s="35"/>
      <c r="J158" s="1"/>
      <c r="K158" s="35"/>
      <c r="L158" s="1"/>
    </row>
    <row r="159" spans="1:12" x14ac:dyDescent="0.25">
      <c r="A159" s="52"/>
      <c r="B159" s="84"/>
      <c r="C159" s="52"/>
      <c r="D159" s="84"/>
      <c r="E159" s="14"/>
      <c r="F159" s="15"/>
      <c r="G159" s="16"/>
      <c r="H159" s="17"/>
      <c r="I159" s="18"/>
      <c r="J159" s="18"/>
      <c r="K159" s="18"/>
      <c r="L159" s="18"/>
    </row>
    <row r="160" spans="1:12" x14ac:dyDescent="0.25">
      <c r="A160" s="39" t="s">
        <v>214</v>
      </c>
      <c r="B160" s="20" t="s">
        <v>215</v>
      </c>
      <c r="C160" s="21" t="s">
        <v>11</v>
      </c>
      <c r="D160" s="36"/>
      <c r="E160" s="22">
        <v>45413</v>
      </c>
      <c r="F160" s="23">
        <v>45444</v>
      </c>
      <c r="G160" s="24">
        <f t="shared" ref="G160:G161" ca="1" si="7">DAYS360(TODAY(),F160)</f>
        <v>-334</v>
      </c>
      <c r="H160" s="20"/>
      <c r="I160" s="47"/>
      <c r="J160" s="1"/>
      <c r="K160" s="35"/>
      <c r="L160" s="1"/>
    </row>
    <row r="161" spans="1:12" x14ac:dyDescent="0.25">
      <c r="A161" s="39" t="s">
        <v>214</v>
      </c>
      <c r="B161" s="94"/>
      <c r="C161" s="49"/>
      <c r="D161" s="56" t="s">
        <v>138</v>
      </c>
      <c r="E161" s="26">
        <v>45413</v>
      </c>
      <c r="F161" s="27">
        <v>45579</v>
      </c>
      <c r="G161" s="28">
        <f t="shared" ca="1" si="7"/>
        <v>-201</v>
      </c>
      <c r="H161" s="20"/>
      <c r="I161" s="47"/>
      <c r="J161" s="1"/>
      <c r="K161" s="35"/>
      <c r="L161" s="1"/>
    </row>
    <row r="162" spans="1:12" x14ac:dyDescent="0.25">
      <c r="A162" s="52"/>
      <c r="B162" s="84"/>
      <c r="C162" s="52"/>
      <c r="D162" s="84"/>
      <c r="E162" s="14"/>
      <c r="F162" s="15"/>
      <c r="G162" s="16"/>
      <c r="H162" s="17"/>
      <c r="I162" s="18"/>
      <c r="J162" s="18"/>
      <c r="K162" s="18"/>
      <c r="L162" s="18"/>
    </row>
    <row r="163" spans="1:12" x14ac:dyDescent="0.25">
      <c r="A163" s="68" t="s">
        <v>216</v>
      </c>
      <c r="B163" s="2" t="s">
        <v>217</v>
      </c>
      <c r="C163" s="1"/>
      <c r="D163" s="105"/>
      <c r="E163" s="102">
        <v>45413</v>
      </c>
      <c r="F163" s="103">
        <v>45444</v>
      </c>
      <c r="G163" s="104">
        <f t="shared" ca="1" si="6"/>
        <v>-334</v>
      </c>
      <c r="H163" s="1"/>
      <c r="I163" s="35"/>
      <c r="J163" s="1"/>
      <c r="K163" s="35"/>
      <c r="L163" s="1"/>
    </row>
    <row r="164" spans="1:12" x14ac:dyDescent="0.25">
      <c r="A164" s="68" t="s">
        <v>216</v>
      </c>
      <c r="B164" s="2"/>
      <c r="C164" s="1"/>
      <c r="D164" s="1"/>
      <c r="E164" s="102">
        <v>45413</v>
      </c>
      <c r="F164" s="103">
        <v>45444</v>
      </c>
      <c r="G164" s="104">
        <f t="shared" ca="1" si="6"/>
        <v>-334</v>
      </c>
      <c r="H164" s="1"/>
      <c r="I164" s="35"/>
      <c r="J164" s="1"/>
      <c r="K164" s="35"/>
      <c r="L164" s="1"/>
    </row>
    <row r="165" spans="1:12" x14ac:dyDescent="0.25">
      <c r="A165" s="52"/>
      <c r="B165" s="84"/>
      <c r="C165" s="52"/>
      <c r="D165" s="84"/>
      <c r="E165" s="14"/>
      <c r="F165" s="15"/>
      <c r="G165" s="16"/>
      <c r="H165" s="17"/>
      <c r="I165" s="18"/>
      <c r="J165" s="18"/>
      <c r="K165" s="18"/>
      <c r="L165" s="18"/>
    </row>
  </sheetData>
  <mergeCells count="5">
    <mergeCell ref="A1:H4"/>
    <mergeCell ref="A6:A7"/>
    <mergeCell ref="B6:B7"/>
    <mergeCell ref="C6:C7"/>
    <mergeCell ref="D6:D7"/>
  </mergeCells>
  <conditionalFormatting sqref="A9">
    <cfRule type="colorScale" priority="52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53">
      <iconSet>
        <cfvo type="percent" val="0"/>
        <cfvo type="num" val="1"/>
        <cfvo type="num" val="2"/>
      </iconSet>
    </cfRule>
    <cfRule type="iconSet" priority="54">
      <iconSet>
        <cfvo type="percent" val="0"/>
        <cfvo type="num" val="0"/>
        <cfvo type="num" val="0" gte="0"/>
      </iconSet>
    </cfRule>
  </conditionalFormatting>
  <conditionalFormatting sqref="A12">
    <cfRule type="colorScale" priority="2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26">
      <iconSet>
        <cfvo type="percent" val="0"/>
        <cfvo type="num" val="1"/>
        <cfvo type="num" val="2"/>
      </iconSet>
    </cfRule>
    <cfRule type="iconSet" priority="27">
      <iconSet>
        <cfvo type="percent" val="0"/>
        <cfvo type="num" val="0"/>
        <cfvo type="num" val="0" gte="0"/>
      </iconSet>
    </cfRule>
  </conditionalFormatting>
  <conditionalFormatting sqref="A145:A147 A130:A131 A123:A124 A120:A121 A117:A118 A80:A81 A48 A51 A54 A57 A60 A126:A127 A13:A45">
    <cfRule type="colorScale" priority="191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92">
      <iconSet>
        <cfvo type="percent" val="0"/>
        <cfvo type="num" val="1"/>
        <cfvo type="num" val="2"/>
      </iconSet>
    </cfRule>
    <cfRule type="iconSet" priority="193">
      <iconSet>
        <cfvo type="percent" val="0"/>
        <cfvo type="num" val="0"/>
        <cfvo type="num" val="0" gte="0"/>
      </iconSet>
    </cfRule>
  </conditionalFormatting>
  <conditionalFormatting sqref="B9">
    <cfRule type="colorScale" priority="43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44">
      <iconSet>
        <cfvo type="percent" val="0"/>
        <cfvo type="num" val="1"/>
        <cfvo type="num" val="2"/>
      </iconSet>
    </cfRule>
    <cfRule type="iconSet" priority="45">
      <iconSet>
        <cfvo type="percent" val="0"/>
        <cfvo type="num" val="0"/>
        <cfvo type="num" val="0" gte="0"/>
      </iconSet>
    </cfRule>
  </conditionalFormatting>
  <conditionalFormatting sqref="B12">
    <cfRule type="colorScale" priority="16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7">
      <iconSet>
        <cfvo type="percent" val="0"/>
        <cfvo type="num" val="1"/>
        <cfvo type="num" val="2"/>
      </iconSet>
    </cfRule>
    <cfRule type="iconSet" priority="18">
      <iconSet>
        <cfvo type="percent" val="0"/>
        <cfvo type="num" val="0"/>
        <cfvo type="num" val="0" gte="0"/>
      </iconSet>
    </cfRule>
  </conditionalFormatting>
  <conditionalFormatting sqref="B145:B147 B130:B131 B120:B121 B117:B118 B80:B81 B48 B51 B54 B57 B60 B123:B124 B126:B127 B13:B45">
    <cfRule type="colorScale" priority="17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76">
      <iconSet>
        <cfvo type="percent" val="0"/>
        <cfvo type="num" val="1"/>
        <cfvo type="num" val="2"/>
      </iconSet>
    </cfRule>
    <cfRule type="iconSet" priority="177">
      <iconSet>
        <cfvo type="percent" val="0"/>
        <cfvo type="num" val="0"/>
        <cfvo type="num" val="0" gte="0"/>
      </iconSet>
    </cfRule>
  </conditionalFormatting>
  <conditionalFormatting sqref="C9">
    <cfRule type="colorScale" priority="46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47">
      <iconSet>
        <cfvo type="percent" val="0"/>
        <cfvo type="num" val="1"/>
        <cfvo type="num" val="2"/>
      </iconSet>
    </cfRule>
    <cfRule type="iconSet" priority="48">
      <iconSet>
        <cfvo type="percent" val="0"/>
        <cfvo type="num" val="0"/>
        <cfvo type="num" val="0" gte="0"/>
      </iconSet>
    </cfRule>
  </conditionalFormatting>
  <conditionalFormatting sqref="C12">
    <cfRule type="colorScale" priority="1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20">
      <iconSet>
        <cfvo type="percent" val="0"/>
        <cfvo type="num" val="1"/>
        <cfvo type="num" val="2"/>
      </iconSet>
    </cfRule>
    <cfRule type="iconSet" priority="21">
      <iconSet>
        <cfvo type="percent" val="0"/>
        <cfvo type="num" val="0"/>
        <cfvo type="num" val="0" gte="0"/>
      </iconSet>
    </cfRule>
  </conditionalFormatting>
  <conditionalFormatting sqref="C17">
    <cfRule type="colorScale" priority="70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71">
      <iconSet>
        <cfvo type="percent" val="0"/>
        <cfvo type="num" val="1"/>
        <cfvo type="num" val="2"/>
      </iconSet>
    </cfRule>
    <cfRule type="iconSet" priority="72">
      <iconSet>
        <cfvo type="percent" val="0"/>
        <cfvo type="num" val="0"/>
        <cfvo type="num" val="0" gte="0"/>
      </iconSet>
    </cfRule>
  </conditionalFormatting>
  <conditionalFormatting sqref="C18">
    <cfRule type="colorScale" priority="76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77">
      <iconSet>
        <cfvo type="percent" val="0"/>
        <cfvo type="num" val="1"/>
        <cfvo type="num" val="2"/>
      </iconSet>
    </cfRule>
    <cfRule type="iconSet" priority="78">
      <iconSet>
        <cfvo type="percent" val="0"/>
        <cfvo type="num" val="0"/>
        <cfvo type="num" val="0" gte="0"/>
      </iconSet>
    </cfRule>
  </conditionalFormatting>
  <conditionalFormatting sqref="C44">
    <cfRule type="colorScale" priority="94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95">
      <iconSet>
        <cfvo type="percent" val="0"/>
        <cfvo type="num" val="1"/>
        <cfvo type="num" val="2"/>
      </iconSet>
    </cfRule>
    <cfRule type="iconSet" priority="96">
      <iconSet>
        <cfvo type="percent" val="0"/>
        <cfvo type="num" val="0"/>
        <cfvo type="num" val="0" gte="0"/>
      </iconSet>
    </cfRule>
  </conditionalFormatting>
  <conditionalFormatting sqref="C47">
    <cfRule type="colorScale" priority="97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98">
      <iconSet>
        <cfvo type="percent" val="0"/>
        <cfvo type="num" val="1"/>
        <cfvo type="num" val="2"/>
      </iconSet>
    </cfRule>
    <cfRule type="iconSet" priority="99">
      <iconSet>
        <cfvo type="percent" val="0"/>
        <cfvo type="num" val="0"/>
        <cfvo type="num" val="0" gte="0"/>
      </iconSet>
    </cfRule>
  </conditionalFormatting>
  <conditionalFormatting sqref="C50">
    <cfRule type="colorScale" priority="103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04">
      <iconSet>
        <cfvo type="percent" val="0"/>
        <cfvo type="num" val="1"/>
        <cfvo type="num" val="2"/>
      </iconSet>
    </cfRule>
    <cfRule type="iconSet" priority="105">
      <iconSet>
        <cfvo type="percent" val="0"/>
        <cfvo type="num" val="0"/>
        <cfvo type="num" val="0" gte="0"/>
      </iconSet>
    </cfRule>
  </conditionalFormatting>
  <conditionalFormatting sqref="C53">
    <cfRule type="colorScale" priority="10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10">
      <iconSet>
        <cfvo type="percent" val="0"/>
        <cfvo type="num" val="1"/>
        <cfvo type="num" val="2"/>
      </iconSet>
    </cfRule>
    <cfRule type="iconSet" priority="111">
      <iconSet>
        <cfvo type="percent" val="0"/>
        <cfvo type="num" val="0"/>
        <cfvo type="num" val="0" gte="0"/>
      </iconSet>
    </cfRule>
  </conditionalFormatting>
  <conditionalFormatting sqref="C56">
    <cfRule type="colorScale" priority="11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16">
      <iconSet>
        <cfvo type="percent" val="0"/>
        <cfvo type="num" val="1"/>
        <cfvo type="num" val="2"/>
      </iconSet>
    </cfRule>
    <cfRule type="iconSet" priority="117">
      <iconSet>
        <cfvo type="percent" val="0"/>
        <cfvo type="num" val="0"/>
        <cfvo type="num" val="0" gte="0"/>
      </iconSet>
    </cfRule>
  </conditionalFormatting>
  <conditionalFormatting sqref="C62">
    <cfRule type="colorScale" priority="121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22">
      <iconSet>
        <cfvo type="percent" val="0"/>
        <cfvo type="num" val="1"/>
        <cfvo type="num" val="2"/>
      </iconSet>
    </cfRule>
    <cfRule type="iconSet" priority="123">
      <iconSet>
        <cfvo type="percent" val="0"/>
        <cfvo type="num" val="0"/>
        <cfvo type="num" val="0" gte="0"/>
      </iconSet>
    </cfRule>
  </conditionalFormatting>
  <conditionalFormatting sqref="C65">
    <cfRule type="colorScale" priority="124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25">
      <iconSet>
        <cfvo type="percent" val="0"/>
        <cfvo type="num" val="1"/>
        <cfvo type="num" val="2"/>
      </iconSet>
    </cfRule>
    <cfRule type="iconSet" priority="126">
      <iconSet>
        <cfvo type="percent" val="0"/>
        <cfvo type="num" val="0"/>
        <cfvo type="num" val="0" gte="0"/>
      </iconSet>
    </cfRule>
  </conditionalFormatting>
  <conditionalFormatting sqref="C68">
    <cfRule type="colorScale" priority="127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28">
      <iconSet>
        <cfvo type="percent" val="0"/>
        <cfvo type="num" val="1"/>
        <cfvo type="num" val="2"/>
      </iconSet>
    </cfRule>
    <cfRule type="iconSet" priority="129">
      <iconSet>
        <cfvo type="percent" val="0"/>
        <cfvo type="num" val="0"/>
        <cfvo type="num" val="0" gte="0"/>
      </iconSet>
    </cfRule>
  </conditionalFormatting>
  <conditionalFormatting sqref="C78">
    <cfRule type="colorScale" priority="133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34">
      <iconSet>
        <cfvo type="percent" val="0"/>
        <cfvo type="num" val="1"/>
        <cfvo type="num" val="2"/>
      </iconSet>
    </cfRule>
    <cfRule type="iconSet" priority="135">
      <iconSet>
        <cfvo type="percent" val="0"/>
        <cfvo type="num" val="0"/>
        <cfvo type="num" val="0" gte="0"/>
      </iconSet>
    </cfRule>
  </conditionalFormatting>
  <conditionalFormatting sqref="C90">
    <cfRule type="colorScale" priority="13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40">
      <iconSet>
        <cfvo type="percent" val="0"/>
        <cfvo type="num" val="1"/>
        <cfvo type="num" val="2"/>
      </iconSet>
    </cfRule>
    <cfRule type="iconSet" priority="141">
      <iconSet>
        <cfvo type="percent" val="0"/>
        <cfvo type="num" val="0"/>
        <cfvo type="num" val="0" gte="0"/>
      </iconSet>
    </cfRule>
  </conditionalFormatting>
  <conditionalFormatting sqref="C94:C95">
    <cfRule type="colorScale" priority="14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46">
      <iconSet>
        <cfvo type="percent" val="0"/>
        <cfvo type="num" val="1"/>
        <cfvo type="num" val="2"/>
      </iconSet>
    </cfRule>
    <cfRule type="iconSet" priority="147">
      <iconSet>
        <cfvo type="percent" val="0"/>
        <cfvo type="num" val="0"/>
        <cfvo type="num" val="0" gte="0"/>
      </iconSet>
    </cfRule>
  </conditionalFormatting>
  <conditionalFormatting sqref="C96">
    <cfRule type="colorScale" priority="91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92">
      <iconSet>
        <cfvo type="percent" val="0"/>
        <cfvo type="num" val="1"/>
        <cfvo type="num" val="2"/>
      </iconSet>
    </cfRule>
    <cfRule type="iconSet" priority="93">
      <iconSet>
        <cfvo type="percent" val="0"/>
        <cfvo type="num" val="0"/>
        <cfvo type="num" val="0" gte="0"/>
      </iconSet>
    </cfRule>
  </conditionalFormatting>
  <conditionalFormatting sqref="C97">
    <cfRule type="colorScale" priority="88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89">
      <iconSet>
        <cfvo type="percent" val="0"/>
        <cfvo type="num" val="1"/>
        <cfvo type="num" val="2"/>
      </iconSet>
    </cfRule>
    <cfRule type="iconSet" priority="90">
      <iconSet>
        <cfvo type="percent" val="0"/>
        <cfvo type="num" val="0"/>
        <cfvo type="num" val="0" gte="0"/>
      </iconSet>
    </cfRule>
  </conditionalFormatting>
  <conditionalFormatting sqref="C100">
    <cfRule type="colorScale" priority="148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49">
      <iconSet>
        <cfvo type="percent" val="0"/>
        <cfvo type="num" val="1"/>
        <cfvo type="num" val="2"/>
      </iconSet>
    </cfRule>
    <cfRule type="iconSet" priority="150">
      <iconSet>
        <cfvo type="percent" val="0"/>
        <cfvo type="num" val="0"/>
        <cfvo type="num" val="0" gte="0"/>
      </iconSet>
    </cfRule>
  </conditionalFormatting>
  <conditionalFormatting sqref="C103">
    <cfRule type="colorScale" priority="154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55">
      <iconSet>
        <cfvo type="percent" val="0"/>
        <cfvo type="num" val="1"/>
        <cfvo type="num" val="2"/>
      </iconSet>
    </cfRule>
    <cfRule type="iconSet" priority="156">
      <iconSet>
        <cfvo type="percent" val="0"/>
        <cfvo type="num" val="0"/>
        <cfvo type="num" val="0" gte="0"/>
      </iconSet>
    </cfRule>
  </conditionalFormatting>
  <conditionalFormatting sqref="C117:C118 C131 C80:C81 C48 C51 C54 C57 C13:C15 C20:C21 C29:C30 C45 C35:C36 C38:C42 C60:C61 C32:C33 C145:C147 C23:C27">
    <cfRule type="colorScale" priority="17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80">
      <iconSet>
        <cfvo type="percent" val="0"/>
        <cfvo type="num" val="1"/>
        <cfvo type="num" val="2"/>
      </iconSet>
    </cfRule>
    <cfRule type="iconSet" priority="181">
      <iconSet>
        <cfvo type="percent" val="0"/>
        <cfvo type="num" val="0"/>
        <cfvo type="num" val="0" gte="0"/>
      </iconSet>
    </cfRule>
  </conditionalFormatting>
  <conditionalFormatting sqref="D9">
    <cfRule type="colorScale" priority="4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50">
      <iconSet>
        <cfvo type="percent" val="0"/>
        <cfvo type="num" val="1"/>
        <cfvo type="num" val="2"/>
      </iconSet>
    </cfRule>
    <cfRule type="iconSet" priority="51">
      <iconSet>
        <cfvo type="percent" val="0"/>
        <cfvo type="num" val="0"/>
        <cfvo type="num" val="0" gte="0"/>
      </iconSet>
    </cfRule>
  </conditionalFormatting>
  <conditionalFormatting sqref="D12">
    <cfRule type="colorScale" priority="22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23">
      <iconSet>
        <cfvo type="percent" val="0"/>
        <cfvo type="num" val="1"/>
        <cfvo type="num" val="2"/>
      </iconSet>
    </cfRule>
    <cfRule type="iconSet" priority="24">
      <iconSet>
        <cfvo type="percent" val="0"/>
        <cfvo type="num" val="0"/>
        <cfvo type="num" val="0" gte="0"/>
      </iconSet>
    </cfRule>
  </conditionalFormatting>
  <conditionalFormatting sqref="D17">
    <cfRule type="colorScale" priority="73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74">
      <iconSet>
        <cfvo type="percent" val="0"/>
        <cfvo type="num" val="1"/>
        <cfvo type="num" val="2"/>
      </iconSet>
    </cfRule>
    <cfRule type="iconSet" priority="75">
      <iconSet>
        <cfvo type="percent" val="0"/>
        <cfvo type="num" val="0"/>
        <cfvo type="num" val="0" gte="0"/>
      </iconSet>
    </cfRule>
  </conditionalFormatting>
  <conditionalFormatting sqref="D18">
    <cfRule type="colorScale" priority="7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80">
      <iconSet>
        <cfvo type="percent" val="0"/>
        <cfvo type="num" val="1"/>
        <cfvo type="num" val="2"/>
      </iconSet>
    </cfRule>
    <cfRule type="iconSet" priority="81">
      <iconSet>
        <cfvo type="percent" val="0"/>
        <cfvo type="num" val="0"/>
        <cfvo type="num" val="0" gte="0"/>
      </iconSet>
    </cfRule>
  </conditionalFormatting>
  <conditionalFormatting sqref="D47">
    <cfRule type="colorScale" priority="100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01">
      <iconSet>
        <cfvo type="percent" val="0"/>
        <cfvo type="num" val="1"/>
        <cfvo type="num" val="2"/>
      </iconSet>
    </cfRule>
    <cfRule type="iconSet" priority="102">
      <iconSet>
        <cfvo type="percent" val="0"/>
        <cfvo type="num" val="0"/>
        <cfvo type="num" val="0" gte="0"/>
      </iconSet>
    </cfRule>
  </conditionalFormatting>
  <conditionalFormatting sqref="D50">
    <cfRule type="colorScale" priority="106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07">
      <iconSet>
        <cfvo type="percent" val="0"/>
        <cfvo type="num" val="1"/>
        <cfvo type="num" val="2"/>
      </iconSet>
    </cfRule>
    <cfRule type="iconSet" priority="108">
      <iconSet>
        <cfvo type="percent" val="0"/>
        <cfvo type="num" val="0"/>
        <cfvo type="num" val="0" gte="0"/>
      </iconSet>
    </cfRule>
  </conditionalFormatting>
  <conditionalFormatting sqref="D53">
    <cfRule type="colorScale" priority="112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13">
      <iconSet>
        <cfvo type="percent" val="0"/>
        <cfvo type="num" val="1"/>
        <cfvo type="num" val="2"/>
      </iconSet>
    </cfRule>
    <cfRule type="iconSet" priority="114">
      <iconSet>
        <cfvo type="percent" val="0"/>
        <cfvo type="num" val="0"/>
        <cfvo type="num" val="0" gte="0"/>
      </iconSet>
    </cfRule>
  </conditionalFormatting>
  <conditionalFormatting sqref="D56">
    <cfRule type="colorScale" priority="118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19">
      <iconSet>
        <cfvo type="percent" val="0"/>
        <cfvo type="num" val="1"/>
        <cfvo type="num" val="2"/>
      </iconSet>
    </cfRule>
    <cfRule type="iconSet" priority="120">
      <iconSet>
        <cfvo type="percent" val="0"/>
        <cfvo type="num" val="0"/>
        <cfvo type="num" val="0" gte="0"/>
      </iconSet>
    </cfRule>
  </conditionalFormatting>
  <conditionalFormatting sqref="D68">
    <cfRule type="colorScale" priority="130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31">
      <iconSet>
        <cfvo type="percent" val="0"/>
        <cfvo type="num" val="1"/>
        <cfvo type="num" val="2"/>
      </iconSet>
    </cfRule>
    <cfRule type="iconSet" priority="132">
      <iconSet>
        <cfvo type="percent" val="0"/>
        <cfvo type="num" val="0"/>
        <cfvo type="num" val="0" gte="0"/>
      </iconSet>
    </cfRule>
  </conditionalFormatting>
  <conditionalFormatting sqref="D78">
    <cfRule type="colorScale" priority="136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37">
      <iconSet>
        <cfvo type="percent" val="0"/>
        <cfvo type="num" val="1"/>
        <cfvo type="num" val="2"/>
      </iconSet>
    </cfRule>
    <cfRule type="iconSet" priority="138">
      <iconSet>
        <cfvo type="percent" val="0"/>
        <cfvo type="num" val="0"/>
        <cfvo type="num" val="0" gte="0"/>
      </iconSet>
    </cfRule>
  </conditionalFormatting>
  <conditionalFormatting sqref="D90">
    <cfRule type="colorScale" priority="142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43">
      <iconSet>
        <cfvo type="percent" val="0"/>
        <cfvo type="num" val="1"/>
        <cfvo type="num" val="2"/>
      </iconSet>
    </cfRule>
    <cfRule type="iconSet" priority="144">
      <iconSet>
        <cfvo type="percent" val="0"/>
        <cfvo type="num" val="0"/>
        <cfvo type="num" val="0" gte="0"/>
      </iconSet>
    </cfRule>
  </conditionalFormatting>
  <conditionalFormatting sqref="D100">
    <cfRule type="colorScale" priority="151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52">
      <iconSet>
        <cfvo type="percent" val="0"/>
        <cfvo type="num" val="1"/>
        <cfvo type="num" val="2"/>
      </iconSet>
    </cfRule>
    <cfRule type="iconSet" priority="153">
      <iconSet>
        <cfvo type="percent" val="0"/>
        <cfvo type="num" val="0"/>
        <cfvo type="num" val="0" gte="0"/>
      </iconSet>
    </cfRule>
  </conditionalFormatting>
  <conditionalFormatting sqref="D103">
    <cfRule type="colorScale" priority="157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58">
      <iconSet>
        <cfvo type="percent" val="0"/>
        <cfvo type="num" val="1"/>
        <cfvo type="num" val="2"/>
      </iconSet>
    </cfRule>
    <cfRule type="iconSet" priority="159">
      <iconSet>
        <cfvo type="percent" val="0"/>
        <cfvo type="num" val="0"/>
        <cfvo type="num" val="0" gte="0"/>
      </iconSet>
    </cfRule>
  </conditionalFormatting>
  <conditionalFormatting sqref="D145:D147 D131 D117 D80:D81 D48 D51 D54 D57 D60 D13:D15 D20:D21 D29:D30 D45 D36 D42 D38:D39 D33 D23:D27">
    <cfRule type="colorScale" priority="182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83">
      <iconSet>
        <cfvo type="percent" val="0"/>
        <cfvo type="num" val="1"/>
        <cfvo type="num" val="2"/>
      </iconSet>
    </cfRule>
    <cfRule type="iconSet" priority="184">
      <iconSet>
        <cfvo type="percent" val="0"/>
        <cfvo type="num" val="0"/>
        <cfvo type="num" val="0" gte="0"/>
      </iconSet>
    </cfRule>
  </conditionalFormatting>
  <conditionalFormatting sqref="D155">
    <cfRule type="colorScale" priority="8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86">
      <iconSet>
        <cfvo type="percent" val="0"/>
        <cfvo type="num" val="1"/>
        <cfvo type="num" val="2"/>
      </iconSet>
    </cfRule>
    <cfRule type="iconSet" priority="87">
      <iconSet>
        <cfvo type="percent" val="0"/>
        <cfvo type="num" val="0"/>
        <cfvo type="num" val="0" gte="0"/>
      </iconSet>
    </cfRule>
  </conditionalFormatting>
  <conditionalFormatting sqref="E9">
    <cfRule type="colorScale" priority="5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56">
      <iconSet>
        <cfvo type="percent" val="0"/>
        <cfvo type="num" val="1"/>
        <cfvo type="num" val="2"/>
      </iconSet>
    </cfRule>
    <cfRule type="iconSet" priority="57">
      <iconSet>
        <cfvo type="percent" val="0"/>
        <cfvo type="num" val="0"/>
        <cfvo type="num" val="0" gte="0"/>
      </iconSet>
    </cfRule>
  </conditionalFormatting>
  <conditionalFormatting sqref="E10:E11">
    <cfRule type="colorScale" priority="1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2">
      <iconSet>
        <cfvo type="percent" val="0"/>
        <cfvo type="num" val="1"/>
        <cfvo type="num" val="2"/>
      </iconSet>
    </cfRule>
    <cfRule type="iconSet" priority="3">
      <iconSet>
        <cfvo type="percent" val="0"/>
        <cfvo type="num" val="0"/>
        <cfvo type="num" val="0" gte="0"/>
      </iconSet>
    </cfRule>
  </conditionalFormatting>
  <conditionalFormatting sqref="E12">
    <cfRule type="colorScale" priority="28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29">
      <iconSet>
        <cfvo type="percent" val="0"/>
        <cfvo type="num" val="1"/>
        <cfvo type="num" val="2"/>
      </iconSet>
    </cfRule>
    <cfRule type="iconSet" priority="30">
      <iconSet>
        <cfvo type="percent" val="0"/>
        <cfvo type="num" val="0"/>
        <cfvo type="num" val="0" gte="0"/>
      </iconSet>
    </cfRule>
  </conditionalFormatting>
  <conditionalFormatting sqref="E117">
    <cfRule type="colorScale" priority="169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70">
      <iconSet>
        <cfvo type="percent" val="0"/>
        <cfvo type="num" val="10"/>
        <cfvo type="num" val="30"/>
      </iconSet>
    </cfRule>
    <cfRule type="iconSet" priority="171">
      <iconSet>
        <cfvo type="percent" val="0"/>
        <cfvo type="num" val="10"/>
        <cfvo type="num" val="30"/>
      </iconSet>
    </cfRule>
    <cfRule type="iconSet" priority="172">
      <iconSet>
        <cfvo type="percent" val="0"/>
        <cfvo type="num" val="10"/>
        <cfvo type="num" val="30"/>
      </iconSet>
    </cfRule>
    <cfRule type="iconSet" priority="173">
      <iconSet>
        <cfvo type="percent" val="0"/>
        <cfvo type="num" val="10"/>
        <cfvo type="num" val="30"/>
      </iconSet>
    </cfRule>
    <cfRule type="iconSet" priority="174">
      <iconSet>
        <cfvo type="percent" val="0"/>
        <cfvo type="num" val="10"/>
        <cfvo type="num" val="30"/>
      </iconSet>
    </cfRule>
  </conditionalFormatting>
  <conditionalFormatting sqref="E118:E165 E13:E116">
    <cfRule type="colorScale" priority="194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95">
      <iconSet>
        <cfvo type="percent" val="0"/>
        <cfvo type="num" val="1"/>
        <cfvo type="num" val="2"/>
      </iconSet>
    </cfRule>
    <cfRule type="iconSet" priority="196">
      <iconSet>
        <cfvo type="percent" val="0"/>
        <cfvo type="num" val="0"/>
        <cfvo type="num" val="0" gte="0"/>
      </iconSet>
    </cfRule>
  </conditionalFormatting>
  <conditionalFormatting sqref="E143:E144">
    <cfRule type="colorScale" priority="166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67">
      <iconSet>
        <cfvo type="percent" val="0"/>
        <cfvo type="num" val="1"/>
        <cfvo type="num" val="2"/>
      </iconSet>
    </cfRule>
    <cfRule type="iconSet" priority="168">
      <iconSet>
        <cfvo type="percent" val="0"/>
        <cfvo type="num" val="0"/>
        <cfvo type="num" val="0" gte="0"/>
      </iconSet>
    </cfRule>
  </conditionalFormatting>
  <conditionalFormatting sqref="F7:F8">
    <cfRule type="iconSet" priority="178">
      <iconSet>
        <cfvo type="percent" val="0"/>
        <cfvo type="percent" val="33"/>
        <cfvo type="percent" val="67"/>
      </iconSet>
    </cfRule>
  </conditionalFormatting>
  <conditionalFormatting sqref="F9">
    <cfRule type="colorScale" priority="58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59">
      <iconSet>
        <cfvo type="percent" val="0"/>
        <cfvo type="num" val="10"/>
        <cfvo type="num" val="30"/>
      </iconSet>
    </cfRule>
    <cfRule type="iconSet" priority="60">
      <iconSet>
        <cfvo type="percent" val="0"/>
        <cfvo type="num" val="10"/>
        <cfvo type="num" val="30"/>
      </iconSet>
    </cfRule>
    <cfRule type="iconSet" priority="61">
      <iconSet>
        <cfvo type="percent" val="0"/>
        <cfvo type="num" val="10"/>
        <cfvo type="num" val="30"/>
      </iconSet>
    </cfRule>
    <cfRule type="iconSet" priority="62">
      <iconSet>
        <cfvo type="percent" val="0"/>
        <cfvo type="num" val="10"/>
        <cfvo type="num" val="30"/>
      </iconSet>
    </cfRule>
    <cfRule type="iconSet" priority="63">
      <iconSet>
        <cfvo type="percent" val="0"/>
        <cfvo type="num" val="10"/>
        <cfvo type="num" val="30"/>
      </iconSet>
    </cfRule>
  </conditionalFormatting>
  <conditionalFormatting sqref="F10:F11">
    <cfRule type="colorScale" priority="4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5">
      <iconSet>
        <cfvo type="percent" val="0"/>
        <cfvo type="num" val="10"/>
        <cfvo type="num" val="30"/>
      </iconSet>
    </cfRule>
    <cfRule type="iconSet" priority="6">
      <iconSet>
        <cfvo type="percent" val="0"/>
        <cfvo type="num" val="10"/>
        <cfvo type="num" val="30"/>
      </iconSet>
    </cfRule>
    <cfRule type="iconSet" priority="7">
      <iconSet>
        <cfvo type="percent" val="0"/>
        <cfvo type="num" val="10"/>
        <cfvo type="num" val="30"/>
      </iconSet>
    </cfRule>
    <cfRule type="iconSet" priority="8">
      <iconSet>
        <cfvo type="percent" val="0"/>
        <cfvo type="num" val="10"/>
        <cfvo type="num" val="30"/>
      </iconSet>
    </cfRule>
    <cfRule type="iconSet" priority="9">
      <iconSet>
        <cfvo type="percent" val="0"/>
        <cfvo type="num" val="10"/>
        <cfvo type="num" val="30"/>
      </iconSet>
    </cfRule>
  </conditionalFormatting>
  <conditionalFormatting sqref="F12">
    <cfRule type="colorScale" priority="31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32">
      <iconSet>
        <cfvo type="percent" val="0"/>
        <cfvo type="num" val="10"/>
        <cfvo type="num" val="30"/>
      </iconSet>
    </cfRule>
    <cfRule type="iconSet" priority="33">
      <iconSet>
        <cfvo type="percent" val="0"/>
        <cfvo type="num" val="10"/>
        <cfvo type="num" val="30"/>
      </iconSet>
    </cfRule>
    <cfRule type="iconSet" priority="34">
      <iconSet>
        <cfvo type="percent" val="0"/>
        <cfvo type="num" val="10"/>
        <cfvo type="num" val="30"/>
      </iconSet>
    </cfRule>
    <cfRule type="iconSet" priority="35">
      <iconSet>
        <cfvo type="percent" val="0"/>
        <cfvo type="num" val="10"/>
        <cfvo type="num" val="30"/>
      </iconSet>
    </cfRule>
    <cfRule type="iconSet" priority="36">
      <iconSet>
        <cfvo type="percent" val="0"/>
        <cfvo type="num" val="10"/>
        <cfvo type="num" val="30"/>
      </iconSet>
    </cfRule>
  </conditionalFormatting>
  <conditionalFormatting sqref="F77">
    <cfRule type="colorScale" priority="82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83">
      <iconSet>
        <cfvo type="percent" val="0"/>
        <cfvo type="num" val="1"/>
        <cfvo type="num" val="2"/>
      </iconSet>
    </cfRule>
    <cfRule type="iconSet" priority="84">
      <iconSet>
        <cfvo type="percent" val="0"/>
        <cfvo type="num" val="0"/>
        <cfvo type="num" val="0" gte="0"/>
      </iconSet>
    </cfRule>
  </conditionalFormatting>
  <conditionalFormatting sqref="F78:F165 F13:F76">
    <cfRule type="colorScale" priority="197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98">
      <iconSet>
        <cfvo type="percent" val="0"/>
        <cfvo type="num" val="10"/>
        <cfvo type="num" val="30"/>
      </iconSet>
    </cfRule>
    <cfRule type="iconSet" priority="199">
      <iconSet>
        <cfvo type="percent" val="0"/>
        <cfvo type="num" val="10"/>
        <cfvo type="num" val="30"/>
      </iconSet>
    </cfRule>
    <cfRule type="iconSet" priority="200">
      <iconSet>
        <cfvo type="percent" val="0"/>
        <cfvo type="num" val="10"/>
        <cfvo type="num" val="30"/>
      </iconSet>
    </cfRule>
    <cfRule type="iconSet" priority="201">
      <iconSet>
        <cfvo type="percent" val="0"/>
        <cfvo type="num" val="10"/>
        <cfvo type="num" val="30"/>
      </iconSet>
    </cfRule>
    <cfRule type="iconSet" priority="202">
      <iconSet>
        <cfvo type="percent" val="0"/>
        <cfvo type="num" val="10"/>
        <cfvo type="num" val="30"/>
      </iconSet>
    </cfRule>
  </conditionalFormatting>
  <conditionalFormatting sqref="F143:F144">
    <cfRule type="colorScale" priority="160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61">
      <iconSet>
        <cfvo type="percent" val="0"/>
        <cfvo type="num" val="10"/>
        <cfvo type="num" val="30"/>
      </iconSet>
    </cfRule>
    <cfRule type="iconSet" priority="162">
      <iconSet>
        <cfvo type="percent" val="0"/>
        <cfvo type="num" val="10"/>
        <cfvo type="num" val="30"/>
      </iconSet>
    </cfRule>
    <cfRule type="iconSet" priority="163">
      <iconSet>
        <cfvo type="percent" val="0"/>
        <cfvo type="num" val="10"/>
        <cfvo type="num" val="30"/>
      </iconSet>
    </cfRule>
    <cfRule type="iconSet" priority="164">
      <iconSet>
        <cfvo type="percent" val="0"/>
        <cfvo type="num" val="10"/>
        <cfvo type="num" val="30"/>
      </iconSet>
    </cfRule>
    <cfRule type="iconSet" priority="165">
      <iconSet>
        <cfvo type="percent" val="0"/>
        <cfvo type="num" val="10"/>
        <cfvo type="num" val="30"/>
      </iconSet>
    </cfRule>
  </conditionalFormatting>
  <conditionalFormatting sqref="G9">
    <cfRule type="colorScale" priority="64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65">
      <iconSet>
        <cfvo type="percent" val="0"/>
        <cfvo type="num" val="10"/>
        <cfvo type="num" val="30"/>
      </iconSet>
    </cfRule>
    <cfRule type="iconSet" priority="66">
      <iconSet>
        <cfvo type="percent" val="0"/>
        <cfvo type="num" val="10"/>
        <cfvo type="num" val="30"/>
      </iconSet>
    </cfRule>
    <cfRule type="iconSet" priority="67">
      <iconSet>
        <cfvo type="percent" val="0"/>
        <cfvo type="num" val="10"/>
        <cfvo type="num" val="30"/>
      </iconSet>
    </cfRule>
    <cfRule type="iconSet" priority="68">
      <iconSet>
        <cfvo type="percent" val="0"/>
        <cfvo type="num" val="10"/>
        <cfvo type="num" val="30"/>
      </iconSet>
    </cfRule>
    <cfRule type="iconSet" priority="69">
      <iconSet>
        <cfvo type="percent" val="0"/>
        <cfvo type="num" val="10"/>
        <cfvo type="num" val="30"/>
      </iconSet>
    </cfRule>
  </conditionalFormatting>
  <conditionalFormatting sqref="G10:G11">
    <cfRule type="colorScale" priority="10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1">
      <iconSet>
        <cfvo type="percent" val="0"/>
        <cfvo type="num" val="10"/>
        <cfvo type="num" val="30"/>
      </iconSet>
    </cfRule>
    <cfRule type="iconSet" priority="12">
      <iconSet>
        <cfvo type="percent" val="0"/>
        <cfvo type="num" val="10"/>
        <cfvo type="num" val="30"/>
      </iconSet>
    </cfRule>
    <cfRule type="iconSet" priority="13">
      <iconSet>
        <cfvo type="percent" val="0"/>
        <cfvo type="num" val="10"/>
        <cfvo type="num" val="30"/>
      </iconSet>
    </cfRule>
    <cfRule type="iconSet" priority="14">
      <iconSet>
        <cfvo type="percent" val="0"/>
        <cfvo type="num" val="10"/>
        <cfvo type="num" val="30"/>
      </iconSet>
    </cfRule>
    <cfRule type="iconSet" priority="15">
      <iconSet>
        <cfvo type="percent" val="0"/>
        <cfvo type="num" val="10"/>
        <cfvo type="num" val="30"/>
      </iconSet>
    </cfRule>
  </conditionalFormatting>
  <conditionalFormatting sqref="G12">
    <cfRule type="colorScale" priority="37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38">
      <iconSet>
        <cfvo type="percent" val="0"/>
        <cfvo type="num" val="10"/>
        <cfvo type="num" val="30"/>
      </iconSet>
    </cfRule>
    <cfRule type="iconSet" priority="39">
      <iconSet>
        <cfvo type="percent" val="0"/>
        <cfvo type="num" val="10"/>
        <cfvo type="num" val="30"/>
      </iconSet>
    </cfRule>
    <cfRule type="iconSet" priority="40">
      <iconSet>
        <cfvo type="percent" val="0"/>
        <cfvo type="num" val="10"/>
        <cfvo type="num" val="30"/>
      </iconSet>
    </cfRule>
    <cfRule type="iconSet" priority="41">
      <iconSet>
        <cfvo type="percent" val="0"/>
        <cfvo type="num" val="10"/>
        <cfvo type="num" val="30"/>
      </iconSet>
    </cfRule>
    <cfRule type="iconSet" priority="42">
      <iconSet>
        <cfvo type="percent" val="0"/>
        <cfvo type="num" val="10"/>
        <cfvo type="num" val="30"/>
      </iconSet>
    </cfRule>
  </conditionalFormatting>
  <conditionalFormatting sqref="G13:G165">
    <cfRule type="colorScale" priority="203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204">
      <iconSet>
        <cfvo type="percent" val="0"/>
        <cfvo type="num" val="10"/>
        <cfvo type="num" val="30"/>
      </iconSet>
    </cfRule>
    <cfRule type="iconSet" priority="205">
      <iconSet>
        <cfvo type="percent" val="0"/>
        <cfvo type="num" val="10"/>
        <cfvo type="num" val="30"/>
      </iconSet>
    </cfRule>
    <cfRule type="iconSet" priority="206">
      <iconSet>
        <cfvo type="percent" val="0"/>
        <cfvo type="num" val="10"/>
        <cfvo type="num" val="30"/>
      </iconSet>
    </cfRule>
    <cfRule type="iconSet" priority="207">
      <iconSet>
        <cfvo type="percent" val="0"/>
        <cfvo type="num" val="10"/>
        <cfvo type="num" val="30"/>
      </iconSet>
    </cfRule>
    <cfRule type="iconSet" priority="208">
      <iconSet>
        <cfvo type="percent" val="0"/>
        <cfvo type="num" val="10"/>
        <cfvo type="num" val="30"/>
      </iconSet>
    </cfRule>
  </conditionalFormatting>
  <conditionalFormatting sqref="G143:G144">
    <cfRule type="colorScale" priority="185">
      <colorScale>
        <cfvo type="num" val="&quot;&lt;10&quot;"/>
        <cfvo type="num" val="&quot;Y(&gt;=10;&lt;30)&quot;"/>
        <cfvo type="num" val="&quot;&gt;=30&quot;"/>
        <color rgb="FFF8696B"/>
        <color rgb="FFFFEB84"/>
        <color rgb="FF63BE7B"/>
      </colorScale>
    </cfRule>
    <cfRule type="iconSet" priority="186">
      <iconSet>
        <cfvo type="percent" val="0"/>
        <cfvo type="num" val="10"/>
        <cfvo type="num" val="30"/>
      </iconSet>
    </cfRule>
    <cfRule type="iconSet" priority="187">
      <iconSet>
        <cfvo type="percent" val="0"/>
        <cfvo type="num" val="10"/>
        <cfvo type="num" val="30"/>
      </iconSet>
    </cfRule>
    <cfRule type="iconSet" priority="188">
      <iconSet>
        <cfvo type="percent" val="0"/>
        <cfvo type="num" val="10"/>
        <cfvo type="num" val="30"/>
      </iconSet>
    </cfRule>
    <cfRule type="iconSet" priority="189">
      <iconSet>
        <cfvo type="percent" val="0"/>
        <cfvo type="num" val="10"/>
        <cfvo type="num" val="30"/>
      </iconSet>
    </cfRule>
    <cfRule type="iconSet" priority="190">
      <iconSet>
        <cfvo type="percent" val="0"/>
        <cfvo type="num" val="10"/>
        <cfvo type="num" val="3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2025-04-10T16:54:22Z</dcterms:created>
  <dcterms:modified xsi:type="dcterms:W3CDTF">2025-05-05T15:43:25Z</dcterms:modified>
</cp:coreProperties>
</file>